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Matriz 28 clases" sheetId="2" state="visible" r:id="rId2"/>
    <sheet xmlns:r="http://schemas.openxmlformats.org/officeDocument/2006/relationships" name="Ponentes - datos aval" sheetId="3" state="visible" r:id="rId3"/>
    <sheet xmlns:r="http://schemas.openxmlformats.org/officeDocument/2006/relationships" name="Vacantes por cubrir" sheetId="4" state="visible" r:id="rId4"/>
  </sheets>
  <definedNames/>
  <calcPr calcId="124519" fullCalcOnLoad="1"/>
</workbook>
</file>

<file path=xl/styles.xml><?xml version="1.0" encoding="utf-8"?>
<styleSheet xmlns="http://schemas.openxmlformats.org/spreadsheetml/2006/main">
  <numFmts count="1">
    <numFmt numFmtId="164" formatCode="0.0"/>
  </numFmts>
  <fonts count="27">
    <font>
      <name val="Calibri"/>
      <family val="2"/>
      <color theme="1"/>
      <sz val="11"/>
      <scheme val="minor"/>
    </font>
    <font>
      <name val="Arial"/>
      <b val="1"/>
      <color rgb="000D5A62"/>
      <sz val="13"/>
    </font>
    <font>
      <name val="Arial"/>
      <b val="1"/>
      <color rgb="00094247"/>
      <sz val="11"/>
    </font>
    <font>
      <name val="Arial"/>
      <i val="1"/>
      <color rgb="006B6B6B"/>
      <sz val="10"/>
    </font>
    <font>
      <name val="Arial"/>
      <color rgb="006B6B6B"/>
      <sz val="9"/>
    </font>
    <font>
      <name val="Arial"/>
      <b val="1"/>
      <color rgb="00FFFFFF"/>
      <sz val="11"/>
    </font>
    <font>
      <name val="Arial"/>
      <b val="1"/>
      <color rgb="00094247"/>
      <sz val="10"/>
    </font>
    <font>
      <name val="Arial"/>
      <sz val="10"/>
    </font>
    <font>
      <name val="Arial"/>
      <b val="1"/>
      <sz val="10"/>
    </font>
    <font>
      <name val="Arial"/>
      <b val="1"/>
      <color rgb="000D5A62"/>
      <sz val="11"/>
    </font>
    <font>
      <name val="Arial"/>
      <b val="1"/>
      <color rgb="009C0006"/>
      <sz val="10"/>
    </font>
    <font>
      <name val="Arial"/>
      <i val="1"/>
      <color rgb="009C0006"/>
      <sz val="9"/>
    </font>
    <font>
      <name val="Arial"/>
      <b val="1"/>
      <color rgb="000D5A62"/>
      <sz val="12"/>
    </font>
    <font>
      <name val="Arial"/>
      <b val="1"/>
      <color rgb="00FFFFFF"/>
      <sz val="10"/>
    </font>
    <font>
      <name val="Arial"/>
      <b val="1"/>
      <sz val="9"/>
    </font>
    <font>
      <name val="Arial"/>
      <b val="1"/>
      <color rgb="000D5A62"/>
      <sz val="9"/>
    </font>
    <font>
      <name val="Arial"/>
      <sz val="9"/>
    </font>
    <font>
      <name val="Arial"/>
      <b val="1"/>
      <color rgb="000D5A62"/>
      <sz val="10"/>
    </font>
    <font>
      <name val="Arial"/>
      <i val="1"/>
      <sz val="10"/>
    </font>
    <font>
      <name val="Arial"/>
      <b val="1"/>
      <i val="1"/>
      <sz val="10"/>
    </font>
    <font>
      <name val="Arial"/>
      <i val="1"/>
      <color rgb="00808080"/>
      <sz val="8"/>
    </font>
    <font>
      <name val="Arial"/>
      <b val="1"/>
      <i val="1"/>
      <color rgb="00808080"/>
      <sz val="8"/>
    </font>
    <font>
      <name val="Arial"/>
      <i val="1"/>
      <color rgb="009C0006"/>
      <sz val="8"/>
    </font>
    <font>
      <name val="Arial"/>
      <i val="1"/>
      <color rgb="006B6B6B"/>
      <sz val="9"/>
    </font>
    <font>
      <name val="Arial"/>
      <i val="1"/>
      <color rgb="006B6B6B"/>
      <sz val="8"/>
    </font>
    <font>
      <name val="Arial"/>
      <b val="1"/>
      <color rgb="009C0006"/>
      <sz val="8"/>
    </font>
    <font>
      <name val="Arial"/>
      <sz val="8"/>
    </font>
  </fonts>
  <fills count="9">
    <fill>
      <patternFill/>
    </fill>
    <fill>
      <patternFill patternType="gray125"/>
    </fill>
    <fill>
      <patternFill patternType="solid">
        <fgColor rgb="00094247"/>
      </patternFill>
    </fill>
    <fill>
      <patternFill patternType="solid">
        <fgColor rgb="00D9EAD3"/>
      </patternFill>
    </fill>
    <fill>
      <patternFill patternType="solid">
        <fgColor rgb="00FCE5CD"/>
      </patternFill>
    </fill>
    <fill>
      <patternFill patternType="solid">
        <fgColor rgb="00F4CCCC"/>
      </patternFill>
    </fill>
    <fill>
      <patternFill patternType="solid">
        <fgColor rgb="00FFF2CC"/>
      </patternFill>
    </fill>
    <fill>
      <patternFill patternType="solid">
        <fgColor rgb="00F2F2F2"/>
      </patternFill>
    </fill>
    <fill>
      <patternFill patternType="solid">
        <fgColor rgb="00FFFFF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pivotButton="0" quotePrefix="0" xfId="0"/>
    <xf numFmtId="0" fontId="0" fillId="2" borderId="0" pivotButton="0" quotePrefix="0" xfId="0"/>
    <xf numFmtId="0" fontId="6" fillId="0" borderId="0" pivotButton="0" quotePrefix="0" xfId="0"/>
    <xf numFmtId="0" fontId="7" fillId="0" borderId="0" applyAlignment="1" pivotButton="0" quotePrefix="0" xfId="0">
      <alignment vertical="top" wrapText="1"/>
    </xf>
    <xf numFmtId="0" fontId="8" fillId="3" borderId="1" applyAlignment="1" pivotButton="0" quotePrefix="0" xfId="0">
      <alignment horizontal="center"/>
    </xf>
    <xf numFmtId="0" fontId="7" fillId="0" borderId="0" applyAlignment="1" pivotButton="0" quotePrefix="0" xfId="0">
      <alignment vertical="center" wrapText="1"/>
    </xf>
    <xf numFmtId="0" fontId="8" fillId="4" borderId="1" applyAlignment="1" pivotButton="0" quotePrefix="0" xfId="0">
      <alignment horizontal="center"/>
    </xf>
    <xf numFmtId="0" fontId="8" fillId="5" borderId="1" applyAlignment="1" pivotButton="0" quotePrefix="0" xfId="0">
      <alignment horizontal="center"/>
    </xf>
    <xf numFmtId="0" fontId="8" fillId="6" borderId="1" applyAlignment="1" pivotButton="0" quotePrefix="0" xfId="0">
      <alignment horizontal="center"/>
    </xf>
    <xf numFmtId="0" fontId="5" fillId="2" borderId="0" applyAlignment="1" pivotButton="0" quotePrefix="0" xfId="0">
      <alignment horizontal="center"/>
    </xf>
    <xf numFmtId="0" fontId="7" fillId="0" borderId="1" pivotButton="0" quotePrefix="0" xfId="0"/>
    <xf numFmtId="0" fontId="0" fillId="0" borderId="1" pivotButton="0" quotePrefix="0" xfId="0"/>
    <xf numFmtId="0" fontId="9" fillId="7" borderId="1" applyAlignment="1" pivotButton="0" quotePrefix="0" xfId="0">
      <alignment horizontal="center"/>
    </xf>
    <xf numFmtId="0" fontId="10" fillId="0" borderId="0" pivotButton="0" quotePrefix="0" xfId="0"/>
    <xf numFmtId="0" fontId="11" fillId="0" borderId="0" applyAlignment="1" pivotButton="0" quotePrefix="0" xfId="0">
      <alignment vertical="top" wrapText="1"/>
    </xf>
    <xf numFmtId="0" fontId="12" fillId="0" borderId="0" pivotButton="0" quotePrefix="0" xfId="0"/>
    <xf numFmtId="0" fontId="13" fillId="2" borderId="1" applyAlignment="1" pivotButton="0" quotePrefix="0" xfId="0">
      <alignment horizontal="center" vertical="center" wrapText="1"/>
    </xf>
    <xf numFmtId="0" fontId="15" fillId="0" borderId="1" applyAlignment="1" pivotButton="0" quotePrefix="0" xfId="0">
      <alignment horizontal="left" vertical="top" wrapText="1"/>
    </xf>
    <xf numFmtId="0" fontId="16" fillId="0" borderId="1" applyAlignment="1" pivotButton="0" quotePrefix="0" xfId="0">
      <alignment horizontal="center" vertical="top" wrapText="1"/>
    </xf>
    <xf numFmtId="0" fontId="16" fillId="0" borderId="1" applyAlignment="1" pivotButton="0" quotePrefix="0" xfId="0">
      <alignment horizontal="left" vertical="top" wrapText="1"/>
    </xf>
    <xf numFmtId="0" fontId="14" fillId="4" borderId="1" applyAlignment="1" pivotButton="0" quotePrefix="0" xfId="0">
      <alignment horizontal="center" vertical="top" wrapText="1"/>
    </xf>
    <xf numFmtId="0" fontId="14" fillId="0" borderId="1" applyAlignment="1" pivotButton="0" quotePrefix="0" xfId="0">
      <alignment horizontal="left" vertical="top" wrapText="1"/>
    </xf>
    <xf numFmtId="0" fontId="14" fillId="3" borderId="1" applyAlignment="1" pivotButton="0" quotePrefix="0" xfId="0">
      <alignment horizontal="center" vertical="top" wrapText="1"/>
    </xf>
    <xf numFmtId="0" fontId="16" fillId="5" borderId="1" applyAlignment="1" pivotButton="0" quotePrefix="0" xfId="0">
      <alignment horizontal="left" vertical="top" wrapText="1"/>
    </xf>
    <xf numFmtId="0" fontId="14" fillId="5" borderId="1" applyAlignment="1" pivotButton="0" quotePrefix="0" xfId="0">
      <alignment horizontal="center" vertical="top" wrapText="1"/>
    </xf>
    <xf numFmtId="0" fontId="14" fillId="6" borderId="1" applyAlignment="1" pivotButton="0" quotePrefix="0" xfId="0">
      <alignment horizontal="center" vertical="top" wrapText="1"/>
    </xf>
    <xf numFmtId="0" fontId="17" fillId="0" borderId="0" pivotButton="0" quotePrefix="0" xfId="0"/>
    <xf numFmtId="0" fontId="8" fillId="0" borderId="0" pivotButton="0" quotePrefix="0" xfId="0"/>
    <xf numFmtId="0" fontId="7" fillId="0" borderId="0" pivotButton="0" quotePrefix="0" xfId="0"/>
    <xf numFmtId="0" fontId="18" fillId="0" borderId="0" pivotButton="0" quotePrefix="0" xfId="0"/>
    <xf numFmtId="0" fontId="19" fillId="0" borderId="0" pivotButton="0" quotePrefix="0" xfId="0"/>
    <xf numFmtId="164" fontId="19" fillId="0" borderId="0" pivotButton="0" quotePrefix="0" xfId="0"/>
    <xf numFmtId="0" fontId="11" fillId="0" borderId="0" pivotButton="0" quotePrefix="0" xfId="0"/>
    <xf numFmtId="0" fontId="16"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6" fillId="0" borderId="1" applyAlignment="1" pivotButton="0" quotePrefix="0" xfId="0">
      <alignment horizontal="left" vertical="center" wrapText="1"/>
    </xf>
    <xf numFmtId="0" fontId="16" fillId="6" borderId="1" applyAlignment="1" pivotButton="0" quotePrefix="0" xfId="0">
      <alignment horizontal="left" vertical="center" wrapText="1"/>
    </xf>
    <xf numFmtId="0" fontId="16" fillId="6" borderId="1" applyAlignment="1" pivotButton="0" quotePrefix="0" xfId="0">
      <alignment horizontal="center" vertical="center" wrapText="1"/>
    </xf>
    <xf numFmtId="0" fontId="14"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14" fillId="6" borderId="1" applyAlignment="1" pivotButton="0" quotePrefix="0" xfId="0">
      <alignment horizontal="center" vertical="center" wrapText="1"/>
    </xf>
    <xf numFmtId="0" fontId="21" fillId="0" borderId="0" pivotButton="0" quotePrefix="0" xfId="0"/>
    <xf numFmtId="0" fontId="20" fillId="0" borderId="0" applyAlignment="1" pivotButton="0" quotePrefix="0" xfId="0">
      <alignment vertical="center" wrapText="1"/>
    </xf>
    <xf numFmtId="0" fontId="22" fillId="0" borderId="0" pivotButton="0" quotePrefix="0" xfId="0"/>
    <xf numFmtId="0" fontId="23" fillId="0" borderId="0" pivotButton="0" quotePrefix="0" xfId="0"/>
    <xf numFmtId="0" fontId="14" fillId="0" borderId="1" applyAlignment="1" pivotButton="0" quotePrefix="0" xfId="0">
      <alignment horizontal="center" vertical="center" wrapText="1"/>
    </xf>
    <xf numFmtId="0" fontId="24" fillId="0" borderId="0" pivotButton="0" quotePrefix="0" xfId="0"/>
    <xf numFmtId="0" fontId="14" fillId="8" borderId="1" applyAlignment="1" pivotButton="0" quotePrefix="0" xfId="0">
      <alignment horizontal="left" vertical="center" wrapText="1"/>
    </xf>
    <xf numFmtId="0" fontId="16" fillId="8" borderId="1" applyAlignment="1" pivotButton="0" quotePrefix="0" xfId="0">
      <alignment horizontal="left" vertical="center" wrapText="1"/>
    </xf>
    <xf numFmtId="0" fontId="16" fillId="8" borderId="1" applyAlignment="1" pivotButton="0" quotePrefix="0" xfId="0">
      <alignment horizontal="center" vertical="center" wrapText="1"/>
    </xf>
    <xf numFmtId="0" fontId="14" fillId="8" borderId="1" applyAlignment="1" pivotButton="0" quotePrefix="0" xfId="0">
      <alignment horizontal="center" vertical="center" wrapText="1"/>
    </xf>
    <xf numFmtId="0" fontId="14" fillId="0" borderId="0" applyAlignment="1" pivotButton="0" quotePrefix="0" xfId="0">
      <alignment horizontal="center" vertical="center" wrapText="1"/>
    </xf>
    <xf numFmtId="0" fontId="14" fillId="0" borderId="0" applyAlignment="1" pivotButton="0" quotePrefix="0" xfId="0">
      <alignment horizontal="left" vertical="center" wrapText="1"/>
    </xf>
    <xf numFmtId="0" fontId="16" fillId="0" borderId="0" applyAlignment="1" pivotButton="0" quotePrefix="0" xfId="0">
      <alignment horizontal="left" vertical="center" wrapText="1"/>
    </xf>
    <xf numFmtId="0" fontId="16" fillId="6" borderId="0" applyAlignment="1" pivotButton="0" quotePrefix="0" xfId="0">
      <alignment horizontal="left" vertical="center" wrapText="1"/>
    </xf>
    <xf numFmtId="0" fontId="16" fillId="8" borderId="1" applyAlignment="1" pivotButton="0" quotePrefix="0" xfId="0">
      <alignment vertical="center" wrapText="1"/>
    </xf>
    <xf numFmtId="0" fontId="25" fillId="4" borderId="1" applyAlignment="1" pivotButton="0" quotePrefix="0" xfId="0">
      <alignment vertical="center" wrapText="1"/>
    </xf>
    <xf numFmtId="0" fontId="14" fillId="6" borderId="1" applyAlignment="1" pivotButton="0" quotePrefix="0" xfId="0">
      <alignment vertical="center" wrapText="1"/>
    </xf>
    <xf numFmtId="0" fontId="26" fillId="6" borderId="1" applyAlignment="1" pivotButton="0" quotePrefix="0" xfId="0">
      <alignment vertical="center" wrapText="1"/>
    </xf>
    <xf numFmtId="0" fontId="16" fillId="8" borderId="1" applyAlignment="1" pivotButton="0" quotePrefix="0" xfId="0">
      <alignment horizontal="left" vertical="top" wrapText="1"/>
    </xf>
    <xf numFmtId="0" fontId="16" fillId="3"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D28"/>
  <sheetViews>
    <sheetView showGridLines="0" workbookViewId="0">
      <selection activeCell="A1" sqref="A1"/>
    </sheetView>
  </sheetViews>
  <sheetFormatPr baseColWidth="8" defaultRowHeight="15"/>
  <cols>
    <col width="3" customWidth="1" min="1" max="1"/>
    <col width="42" customWidth="1" min="2" max="2"/>
    <col width="62" customWidth="1" min="3" max="3"/>
    <col width="16" customWidth="1" min="4" max="4"/>
  </cols>
  <sheetData>
    <row r="2">
      <c r="B2" s="1" t="inlineStr">
        <is>
          <t>SOCIEDAD DE ENDOCRINOLOGÍA Y DIABETES DEL AUSTRO · SEDA</t>
        </is>
      </c>
    </row>
    <row r="3">
      <c r="B3" s="2" t="inlineStr">
        <is>
          <t>Curso virtual de actualización en obesidad, diabetes, nutrición clínica y salud digital</t>
        </is>
      </c>
    </row>
    <row r="4">
      <c r="B4" s="3" t="inlineStr">
        <is>
          <t>Matriz de control de ponentes y datos para la solicitud de aval académico · Universidad de Cuenca</t>
        </is>
      </c>
    </row>
    <row r="5">
      <c r="B5" s="4" t="inlineStr">
        <is>
          <t>Elaborado: 3 de septiembre de 2026 · Fuente: PDF 'Solicitud de aval académico' (13 pág.) remitido por Dra. Lizbet Ruilova</t>
        </is>
      </c>
    </row>
    <row r="7">
      <c r="B7" s="5" t="inlineStr">
        <is>
          <t>CÓMO USAR ESTE ARCHIVO</t>
        </is>
      </c>
      <c r="C7" s="6" t="n"/>
      <c r="D7" s="6" t="n"/>
    </row>
    <row r="8" ht="32" customHeight="1">
      <c r="B8" s="7" t="inlineStr">
        <is>
          <t>Hoja «Matriz 28 clases»</t>
        </is>
      </c>
      <c r="C8" s="8" t="inlineStr">
        <is>
          <t>Inventario completo del programa: 7 módulos × 4 clases. Muestra qué clase tiene ponente y cuál no. NO se edita salvo que cambie el programa.</t>
        </is>
      </c>
    </row>
    <row r="9" ht="32" customHeight="1">
      <c r="B9" s="7" t="inlineStr">
        <is>
          <t>Hoja «Ponentes – datos aval»</t>
        </is>
      </c>
      <c r="C9" s="8" t="inlineStr">
        <is>
          <t>AQUÍ SE TRABAJA. Una fila por persona. Las celdas en AMARILLO son las que hay que completar y las que se piden por WhatsApp.</t>
        </is>
      </c>
    </row>
    <row r="10" ht="32" customHeight="1">
      <c r="B10" s="7" t="inlineStr">
        <is>
          <t>Hoja «Vacantes por cubrir»</t>
        </is>
      </c>
      <c r="C10" s="8" t="inlineStr">
        <is>
          <t>Las 9 clases sin ponente, con el perfil profesional sugerido para cada una y espacio para anotar candidatos.</t>
        </is>
      </c>
    </row>
    <row r="12">
      <c r="B12" s="5" t="inlineStr">
        <is>
          <t>LEYENDA DE ESTADOS</t>
        </is>
      </c>
      <c r="C12" s="6" t="n"/>
      <c r="D12" s="6" t="n"/>
    </row>
    <row r="13" ht="28" customHeight="1">
      <c r="B13" s="9" t="inlineStr">
        <is>
          <t>CONFIRMADO</t>
        </is>
      </c>
      <c r="C13" s="10" t="inlineStr">
        <is>
          <t>Marcado en ROJO en el PDF original = ya aceptó dictar la charla (según indicación de Dra. Lizbet Ruilova).</t>
        </is>
      </c>
    </row>
    <row r="14" ht="28" customHeight="1">
      <c r="B14" s="11" t="inlineStr">
        <is>
          <t>POR CONFIRMAR</t>
        </is>
      </c>
      <c r="C14" s="10" t="inlineStr">
        <is>
          <t>Nombre asignado en el programa pero SIN marca roja. Hay que pedirle aceptación formal por escrito.</t>
        </is>
      </c>
    </row>
    <row r="15" ht="28" customHeight="1">
      <c r="B15" s="12" t="inlineStr">
        <is>
          <t>VACANTE</t>
        </is>
      </c>
      <c r="C15" s="10" t="inlineStr">
        <is>
          <t>La clase existe en el programa pero no tiene ningún ponente asignado. Hay que buscar y invitar.</t>
        </is>
      </c>
    </row>
    <row r="16" ht="28" customHeight="1">
      <c r="B16" s="13" t="inlineStr">
        <is>
          <t>DATO INCOMPLETO</t>
        </is>
      </c>
      <c r="C16" s="10" t="inlineStr">
        <is>
          <t>Falta información indispensable para el aval (apellido, correo, cédula, hoja de vida).</t>
        </is>
      </c>
    </row>
    <row r="18">
      <c r="B18" s="5" t="inlineStr">
        <is>
          <t>RESUMEN AUTOMÁTICO (se actualiza solo)</t>
        </is>
      </c>
      <c r="C18" s="6" t="n"/>
      <c r="D18" s="14" t="inlineStr">
        <is>
          <t>Total</t>
        </is>
      </c>
    </row>
    <row r="19">
      <c r="B19" s="15" t="inlineStr">
        <is>
          <t>Clases del programa (7 módulos × 4)</t>
        </is>
      </c>
      <c r="C19" s="16" t="n"/>
      <c r="D19" s="17">
        <f>COUNTA('Matriz 28 clases'!C3:C30)</f>
        <v/>
      </c>
    </row>
    <row r="20">
      <c r="B20" s="15" t="inlineStr">
        <is>
          <t>Clases con ponente CONFIRMADO</t>
        </is>
      </c>
      <c r="C20" s="16" t="n"/>
      <c r="D20" s="17">
        <f>COUNTIF('Matriz 28 clases'!F3:F30,"CONFIRMADO")</f>
        <v/>
      </c>
    </row>
    <row r="21">
      <c r="B21" s="15" t="inlineStr">
        <is>
          <t>Clases con ponente POR CONFIRMAR</t>
        </is>
      </c>
      <c r="C21" s="16" t="n"/>
      <c r="D21" s="17">
        <f>COUNTIF('Matriz 28 clases'!F3:F30,"POR CONFIRMAR")</f>
        <v/>
      </c>
    </row>
    <row r="22">
      <c r="B22" s="15" t="inlineStr">
        <is>
          <t>Clases VACANTES (sin ponente)</t>
        </is>
      </c>
      <c r="C22" s="16" t="n"/>
      <c r="D22" s="17">
        <f>COUNTIF('Matriz 28 clases'!F3:F30,"VACANTE")</f>
        <v/>
      </c>
    </row>
    <row r="23">
      <c r="B23" s="15" t="inlineStr">
        <is>
          <t>Docentes distintos ya identificados</t>
        </is>
      </c>
      <c r="C23" s="16" t="n"/>
      <c r="D23" s="17">
        <f>COUNTA('Ponentes - datos aval'!B4:B26)</f>
        <v/>
      </c>
    </row>
    <row r="24">
      <c r="B24" s="15" t="inlineStr">
        <is>
          <t>Hojas de vida recibidas</t>
        </is>
      </c>
      <c r="C24" s="16" t="n"/>
      <c r="D24" s="17">
        <f>COUNTIF('Ponentes - datos aval'!J4:J26,"SÍ")</f>
        <v/>
      </c>
    </row>
    <row r="25">
      <c r="B25" s="15" t="inlineStr">
        <is>
          <t>Números de WhatsApp registrados</t>
        </is>
      </c>
      <c r="C25" s="16" t="n"/>
      <c r="D25" s="17">
        <f>COUNTA('Ponentes - datos aval'!F4:F26)</f>
        <v/>
      </c>
    </row>
    <row r="26">
      <c r="B26" s="15" t="inlineStr">
        <is>
          <t>Declaraciones de conflicto de interés firmadas</t>
        </is>
      </c>
      <c r="C26" s="16" t="n"/>
      <c r="D26" s="17">
        <f>COUNTIF('Ponentes - datos aval'!L4:L26,"SÍ")</f>
        <v/>
      </c>
    </row>
    <row r="28" ht="40" customHeight="1">
      <c r="B28" s="18" t="inlineStr">
        <is>
          <t>ADVERTENCIA</t>
        </is>
      </c>
      <c r="C28" s="19" t="inlineStr">
        <is>
          <t>Los datos de contacto (correo, WhatsApp, cédula) NO están en el PDF original. Deben ser proporcionados por SEDA. Este archivo no inventa ningún dato: las celdas vacías están vacías porque el dato no existe todavía.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9"/>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7" customWidth="1" min="2" max="2"/>
    <col width="42" customWidth="1" min="3" max="3"/>
    <col width="52" customWidth="1" min="4" max="4"/>
    <col width="30" customWidth="1" min="5" max="5"/>
    <col width="17" customWidth="1" min="6" max="6"/>
    <col width="7" customWidth="1" min="7" max="7"/>
    <col width="46" customWidth="1" min="8" max="8"/>
  </cols>
  <sheetData>
    <row r="1">
      <c r="A1" s="20" t="inlineStr">
        <is>
          <t>MATRIZ DE LAS 28 CLASES DEL PROGRAMA · Estado de asignación de ponentes</t>
        </is>
      </c>
    </row>
    <row r="2" ht="34" customHeight="1">
      <c r="A2" s="21" t="inlineStr">
        <is>
          <t>Módulo</t>
        </is>
      </c>
      <c r="B2" s="21" t="inlineStr">
        <is>
          <t>Clase</t>
        </is>
      </c>
      <c r="C2" s="21" t="inlineStr">
        <is>
          <t>Tema de la clase</t>
        </is>
      </c>
      <c r="D2" s="21" t="inlineStr">
        <is>
          <t>Contenidos declarados en el programa</t>
        </is>
      </c>
      <c r="E2" s="21" t="inlineStr">
        <is>
          <t>Ponente asignado en el PDF</t>
        </is>
      </c>
      <c r="F2" s="21" t="inlineStr">
        <is>
          <t>Estado</t>
        </is>
      </c>
      <c r="G2" s="21" t="inlineStr">
        <is>
          <t>Min.</t>
        </is>
      </c>
      <c r="H2" s="21" t="inlineStr">
        <is>
          <t>Qué falta / observación</t>
        </is>
      </c>
    </row>
    <row r="3" ht="40" customHeight="1">
      <c r="A3" s="22" t="inlineStr">
        <is>
          <t>M1. Fundamentos de obesidad y evaluación clínica</t>
        </is>
      </c>
      <c r="B3" s="23" t="inlineStr">
        <is>
          <t>C1</t>
        </is>
      </c>
      <c r="C3" s="24" t="inlineStr">
        <is>
          <t>Epidemiología y nuevos conceptos de obesidad</t>
        </is>
      </c>
      <c r="D3" s="24" t="inlineStr">
        <is>
          <t>Situación mundial y regional; impacto sanitario y económico; cambio de paradigma diagnóstico</t>
        </is>
      </c>
      <c r="E3" s="24" t="inlineStr">
        <is>
          <t>Dra. Lizbet Ruilova</t>
        </is>
      </c>
      <c r="F3" s="27" t="inlineStr">
        <is>
          <t>CONFIRMADO</t>
        </is>
      </c>
      <c r="G3" s="23" t="n">
        <v>30</v>
      </c>
      <c r="H3" s="24" t="inlineStr">
        <is>
          <t>Confirmado el 29/09/2026. Coordinadora académica. Confirmar por escrito + hoja de vida + declaración COI.</t>
        </is>
      </c>
    </row>
    <row r="4" ht="40" customHeight="1">
      <c r="A4" s="26" t="inlineStr"/>
      <c r="B4" s="23" t="inlineStr">
        <is>
          <t>C2</t>
        </is>
      </c>
      <c r="C4" s="24" t="inlineStr">
        <is>
          <t>Fisiopatología moderna de la obesidad</t>
        </is>
      </c>
      <c r="D4" s="24" t="inlineStr">
        <is>
          <t>Adiposopatía y lipotoxicidad; inflamación crónica de bajo grado; cronobiología</t>
        </is>
      </c>
      <c r="E4" s="24" t="inlineStr">
        <is>
          <t>Dr. Pablo Vanegas</t>
        </is>
      </c>
      <c r="F4" s="27" t="inlineStr">
        <is>
          <t>CONFIRMADO</t>
        </is>
      </c>
      <c r="G4" s="23" t="n">
        <v>30</v>
      </c>
      <c r="H4" s="24" t="inlineStr">
        <is>
          <t>Confirmado el 29/09/2026. Coordinador académico. Confirmar por escrito + hoja de vida + declaración COI.</t>
        </is>
      </c>
    </row>
    <row r="5" ht="40" customHeight="1">
      <c r="A5" s="26" t="inlineStr"/>
      <c r="B5" s="23" t="inlineStr">
        <is>
          <t>C3</t>
        </is>
      </c>
      <c r="C5" s="24" t="inlineStr">
        <is>
          <t>Evaluación integral del paciente con obesidad</t>
        </is>
      </c>
      <c r="D5" s="24" t="inlineStr">
        <is>
          <t>Clasificación clínica; fenotipos metabólicos; estratificación de riesgo</t>
        </is>
      </c>
      <c r="E5" s="24" t="inlineStr">
        <is>
          <t>Dra. María Augusta Astudillo</t>
        </is>
      </c>
      <c r="F5" s="27" t="inlineStr">
        <is>
          <t>CONFIRMADO</t>
        </is>
      </c>
      <c r="G5" s="23" t="n">
        <v>30</v>
      </c>
      <c r="H5" s="24" t="inlineStr">
        <is>
          <t>Confirmado el 29/09/2026. Pedir aceptación formal, datos de contacto y hoja de vida.</t>
        </is>
      </c>
    </row>
    <row r="6" ht="40" customHeight="1">
      <c r="A6" s="26" t="inlineStr"/>
      <c r="B6" s="23" t="inlineStr">
        <is>
          <t>C4</t>
        </is>
      </c>
      <c r="C6" s="24" t="inlineStr">
        <is>
          <t>Composición corporal y sarcopenia</t>
        </is>
      </c>
      <c r="D6" s="24" t="inlineStr">
        <is>
          <t>IMC y sus limitaciones; circunferencia abdominal; bioimpedancia; obesidad sarcopénica</t>
        </is>
      </c>
      <c r="E6" s="24" t="inlineStr">
        <is>
          <t>Dra. Adriana González</t>
        </is>
      </c>
      <c r="F6" s="27" t="inlineStr">
        <is>
          <t>CONFIRMADO</t>
        </is>
      </c>
      <c r="G6" s="23" t="n">
        <v>30</v>
      </c>
      <c r="H6" s="24" t="inlineStr">
        <is>
          <t>Aceptó el 29/09/2026. Tesorera de ALAD, Ecuador. La propuso la Dra. Adriana Álvarez: ya tenía preparada una charla de sarcopenia dictada en Curitiba. ENTREGA MÁS PRÓXIMA DEL CURSO, junto con el resto del módulo 1 y el 2. Falta toda la documentación.</t>
        </is>
      </c>
    </row>
    <row r="7" ht="40" customHeight="1">
      <c r="A7" s="22" t="inlineStr">
        <is>
          <t>M2. Nutrición en el manejo de la obesidad</t>
        </is>
      </c>
      <c r="B7" s="23" t="inlineStr">
        <is>
          <t>C1</t>
        </is>
      </c>
      <c r="C7" s="24" t="inlineStr">
        <is>
          <t>Principios de terapia nutricional</t>
        </is>
      </c>
      <c r="D7" s="24" t="inlineStr">
        <is>
          <t>Balance energético; calidad nutricional; individualización del tratamiento</t>
        </is>
      </c>
      <c r="E7" s="24" t="inlineStr">
        <is>
          <t>Lcda. Isabel Reinoso</t>
        </is>
      </c>
      <c r="F7" s="27" t="inlineStr">
        <is>
          <t>CONFIRMADO</t>
        </is>
      </c>
      <c r="G7" s="23" t="n">
        <v>30</v>
      </c>
      <c r="H7" s="24" t="inlineStr">
        <is>
          <t>Solo faltan datos de contacto, hoja de vida y declaración COI.</t>
        </is>
      </c>
    </row>
    <row r="8" ht="40" customHeight="1">
      <c r="A8" s="26" t="inlineStr"/>
      <c r="B8" s="23" t="inlineStr">
        <is>
          <t>C2</t>
        </is>
      </c>
      <c r="C8" s="24" t="inlineStr">
        <is>
          <t>Patrones alimentarios basados en evidencia</t>
        </is>
      </c>
      <c r="D8" s="24" t="inlineStr">
        <is>
          <t>Dieta mediterránea; dieta DASH; dietas bajas en carbohidratos; ayuno intermitente</t>
        </is>
      </c>
      <c r="E8" s="24" t="inlineStr">
        <is>
          <t>Dra. Johanna Piedra Bravo</t>
        </is>
      </c>
      <c r="F8" s="27" t="inlineStr">
        <is>
          <t>CONFIRMADO</t>
        </is>
      </c>
      <c r="G8" s="23" t="n">
        <v>30</v>
      </c>
      <c r="H8" s="24" t="inlineStr">
        <is>
          <t>Solo faltan datos de contacto, hoja de vida y declaración COI.</t>
        </is>
      </c>
    </row>
    <row r="9" ht="40" customHeight="1">
      <c r="A9" s="26" t="inlineStr"/>
      <c r="B9" s="23" t="inlineStr">
        <is>
          <t>C3</t>
        </is>
      </c>
      <c r="C9" s="24" t="inlineStr">
        <is>
          <t>Nutrición conductual</t>
        </is>
      </c>
      <c r="D9" s="24" t="inlineStr">
        <is>
          <t>Hambre fisiológica y emocional; conducta alimentaria; adherencia terapéutica</t>
        </is>
      </c>
      <c r="E9" s="64" t="inlineStr">
        <is>
          <t>Dra. Janeth Bermeo</t>
        </is>
      </c>
      <c r="F9" s="27" t="inlineStr">
        <is>
          <t>CONFIRMADO</t>
        </is>
      </c>
      <c r="G9" s="23" t="n">
        <v>30</v>
      </c>
      <c r="H9" s="24" t="inlineStr">
        <is>
          <t>Aceptó el 22/09/2026. Endocrinóloga del Hospital del Río. Pendiente: hoja de vida, cédula, foto y declaración COI.</t>
        </is>
      </c>
    </row>
    <row r="10" ht="40" customHeight="1">
      <c r="A10" s="26" t="inlineStr"/>
      <c r="B10" s="23" t="inlineStr">
        <is>
          <t>C4</t>
        </is>
      </c>
      <c r="C10" s="24" t="inlineStr">
        <is>
          <t>Actividad física en obesidad</t>
        </is>
      </c>
      <c r="D10" s="24" t="inlineStr">
        <is>
          <t>Ejercicio aeróbico; entrenamiento de fuerza; prescripción de ejercicio</t>
        </is>
      </c>
      <c r="E10" s="64" t="inlineStr">
        <is>
          <t>Dra. Julia Castro</t>
        </is>
      </c>
      <c r="F10" s="27" t="inlineStr">
        <is>
          <t>CONFIRMADO</t>
        </is>
      </c>
      <c r="G10" s="23" t="n">
        <v>30</v>
      </c>
      <c r="H10" s="24" t="inlineStr">
        <is>
          <t>Aceptó el 24/09/2026. El Dr. César Dommar, invitado el 23/09, declinó. Faltan especialidad, datos de contacto y toda la documentación del aval. Entrega de la grabación: 29 de octubre, la fecha más apretada del curso.</t>
        </is>
      </c>
    </row>
    <row r="11" ht="40" customHeight="1">
      <c r="A11" s="22" t="inlineStr">
        <is>
          <t>M3. Tratamiento farmacológico y cirugía de la obesidad</t>
        </is>
      </c>
      <c r="B11" s="23" t="inlineStr">
        <is>
          <t>C1</t>
        </is>
      </c>
      <c r="C11" s="24" t="inlineStr">
        <is>
          <t>Farmacoterapia para obesidad</t>
        </is>
      </c>
      <c r="D11" s="24" t="inlineStr">
        <is>
          <t>Indicaciones generales; orlistat; fentermina; fentermina/topiramato; bupropión/naltrexona</t>
        </is>
      </c>
      <c r="E11" s="24" t="inlineStr">
        <is>
          <t>Dr. Pablo Vanegas</t>
        </is>
      </c>
      <c r="F11" s="27" t="inlineStr">
        <is>
          <t>CONFIRMADO</t>
        </is>
      </c>
      <c r="G11" s="23" t="n">
        <v>30</v>
      </c>
      <c r="H11" s="24" t="inlineStr">
        <is>
          <t>Confirmado el 29/09/2026. Segunda charla del mismo docente. Confirmar carga y disponibilidad.</t>
        </is>
      </c>
    </row>
    <row r="12" ht="40" customHeight="1">
      <c r="A12" s="26" t="inlineStr"/>
      <c r="B12" s="23" t="inlineStr">
        <is>
          <t>C2</t>
        </is>
      </c>
      <c r="C12" s="24" t="inlineStr">
        <is>
          <t>Agonistas del receptor de GLP-1</t>
        </is>
      </c>
      <c r="D12" s="24" t="inlineStr">
        <is>
          <t>Semaglutida; evidencia clínica</t>
        </is>
      </c>
      <c r="E12" s="24" t="inlineStr">
        <is>
          <t>Dr. Frank Espinoza</t>
        </is>
      </c>
      <c r="F12" s="27" t="inlineStr">
        <is>
          <t>CONFIRMADO</t>
        </is>
      </c>
      <c r="G12" s="23" t="n">
        <v>30</v>
      </c>
      <c r="H12" s="24" t="inlineStr">
        <is>
          <t>Solo faltan datos de contacto, hoja de vida y declaración COI.</t>
        </is>
      </c>
    </row>
    <row r="13" ht="40" customHeight="1">
      <c r="A13" s="26" t="inlineStr"/>
      <c r="B13" s="23" t="inlineStr">
        <is>
          <t>C3</t>
        </is>
      </c>
      <c r="C13" s="24" t="inlineStr">
        <is>
          <t>Tirzepatida y nuevas terapias</t>
        </is>
      </c>
      <c r="D13" s="24" t="inlineStr">
        <is>
          <t>Mecanismos de acción; evidencia clínica; seguridad</t>
        </is>
      </c>
      <c r="E13" s="24" t="inlineStr">
        <is>
          <t>Dra. Teresa Cuatecontzi</t>
        </is>
      </c>
      <c r="F13" s="27" t="inlineStr">
        <is>
          <t>CONFIRMADO</t>
        </is>
      </c>
      <c r="G13" s="23" t="n">
        <v>30</v>
      </c>
      <c r="H13" s="24" t="inlineStr">
        <is>
          <t>Confirmar país de origen para el trámite del aval. Faltan contacto, hoja de vida y COI.</t>
        </is>
      </c>
    </row>
    <row r="14" ht="40" customHeight="1">
      <c r="A14" s="26" t="inlineStr"/>
      <c r="B14" s="23" t="inlineStr">
        <is>
          <t>C4</t>
        </is>
      </c>
      <c r="C14" s="24" t="inlineStr">
        <is>
          <t>Cirugía bariátrica</t>
        </is>
      </c>
      <c r="D14" s="24" t="inlineStr">
        <is>
          <t>Indicaciones; técnicas quirúrgicas; seguimiento metabólico</t>
        </is>
      </c>
      <c r="E14" s="24" t="inlineStr">
        <is>
          <t>Dr. Cristian Castillo</t>
        </is>
      </c>
      <c r="F14" s="27" t="inlineStr">
        <is>
          <t>CONFIRMADO</t>
        </is>
      </c>
      <c r="G14" s="23" t="n">
        <v>30</v>
      </c>
      <c r="H14" s="24" t="inlineStr">
        <is>
          <t>Aceptó vía Dra. Lizbet Ruilova (24/09/2026). El Dr. Verdugo, invitado el 23/09, no respondió. Faltan datos de contacto y documentación del aval.</t>
        </is>
      </c>
    </row>
    <row r="15" ht="40" customHeight="1">
      <c r="A15" s="22" t="inlineStr">
        <is>
          <t>M4. Diabetes mellitus: diagnóstico y manejo actual</t>
        </is>
      </c>
      <c r="B15" s="23" t="inlineStr">
        <is>
          <t>C1</t>
        </is>
      </c>
      <c r="C15" s="24" t="inlineStr">
        <is>
          <t>Fisiopatología y clasificación de la diabetes</t>
        </is>
      </c>
      <c r="D15" s="24" t="inlineStr">
        <is>
          <t>Defectos fisiopatológicos de la DM2; clasificación actual; diagnóstico temprano</t>
        </is>
      </c>
      <c r="E15" s="24" t="inlineStr">
        <is>
          <t>Dra. María Paz Castillo Cabrera</t>
        </is>
      </c>
      <c r="F15" s="27" t="inlineStr">
        <is>
          <t>CONFIRMADO</t>
        </is>
      </c>
      <c r="G15" s="23" t="n">
        <v>30</v>
      </c>
      <c r="H15" s="24" t="inlineStr">
        <is>
          <t>Asignada el 29/09/2026 a petición de la Dra. Lizbet Ruilova. El Dr. José Luis Valverde, invitado el 28/09, no respondió. EN ESPERA: verificar con la Dra. Ruilova si es la misma María Paz Castillo vinculada al trámite de avales de la Universidad de Cuenca. Si lo es, hay conflicto de interés que declarar y el teléfono +52 no cuadra. No escribirle hasta aclararlo.</t>
        </is>
      </c>
    </row>
    <row r="16" ht="40" customHeight="1">
      <c r="A16" s="26" t="inlineStr"/>
      <c r="B16" s="23" t="inlineStr">
        <is>
          <t>C2</t>
        </is>
      </c>
      <c r="C16" s="24" t="inlineStr">
        <is>
          <t>Monitoreo glucémico y metas terapéuticas</t>
        </is>
      </c>
      <c r="D16" s="24" t="inlineStr">
        <is>
          <t>HbA1c; tiempo en rango; AGP y monitoreo continuo de glucosa</t>
        </is>
      </c>
      <c r="E16" s="24" t="inlineStr">
        <is>
          <t>Dra. Josefa Palacios</t>
        </is>
      </c>
      <c r="F16" s="27" t="inlineStr">
        <is>
          <t>CONFIRMADO</t>
        </is>
      </c>
      <c r="G16" s="23" t="n">
        <v>30</v>
      </c>
      <c r="H16" s="24" t="inlineStr">
        <is>
          <t>Solo faltan datos de contacto, hoja de vida y declaración COI.</t>
        </is>
      </c>
    </row>
    <row r="17" ht="40" customHeight="1">
      <c r="A17" s="26" t="inlineStr"/>
      <c r="B17" s="23" t="inlineStr">
        <is>
          <t>C3</t>
        </is>
      </c>
      <c r="C17" s="24" t="inlineStr">
        <is>
          <t>Terapia farmacológica moderna</t>
        </is>
      </c>
      <c r="D17" s="24" t="inlineStr">
        <is>
          <t>iSGLT2 e iDPP-4; agonistas de GLP-1 y tirzepatida; individualización</t>
        </is>
      </c>
      <c r="E17" s="24" t="inlineStr">
        <is>
          <t>Dra. Gabriela Jiménez</t>
        </is>
      </c>
      <c r="F17" s="27" t="inlineStr">
        <is>
          <t>CONFIRMADO</t>
        </is>
      </c>
      <c r="G17" s="23" t="n">
        <v>30</v>
      </c>
      <c r="H17" s="24" t="inlineStr">
        <is>
          <t>Confirmado el 29/09/2026. Segunda charla del mismo docente. Confirmar carga y disponibilidad.</t>
        </is>
      </c>
    </row>
    <row r="18" ht="40" customHeight="1">
      <c r="A18" s="26" t="inlineStr"/>
      <c r="B18" s="23" t="inlineStr">
        <is>
          <t>C4</t>
        </is>
      </c>
      <c r="C18" s="24" t="inlineStr">
        <is>
          <t>Insulinoterapia avanzada</t>
        </is>
      </c>
      <c r="D18" s="24" t="inlineStr">
        <is>
          <t>Inicio e intensificación; combinación con agonistas de GLP-1; manejo de hipoglucemia</t>
        </is>
      </c>
      <c r="E18" s="24" t="inlineStr">
        <is>
          <t>Dr. Juan Molina</t>
        </is>
      </c>
      <c r="F18" s="27" t="inlineStr">
        <is>
          <t>CONFIRMADO</t>
        </is>
      </c>
      <c r="G18" s="23" t="n">
        <v>30</v>
      </c>
      <c r="H18" s="24" t="inlineStr">
        <is>
          <t>Confirmado el 29/09/2026. Pedir aceptación formal, datos de contacto y hoja de vida.</t>
        </is>
      </c>
    </row>
    <row r="19" ht="40" customHeight="1">
      <c r="A19" s="22" t="inlineStr">
        <is>
          <t>M5. Terapia nutricional en diabetes y obesidad</t>
        </is>
      </c>
      <c r="B19" s="23" t="inlineStr">
        <is>
          <t>C1</t>
        </is>
      </c>
      <c r="C19" s="24" t="inlineStr">
        <is>
          <t>Nutrición de precisión en diabetes y obesidad</t>
        </is>
      </c>
      <c r="D19" s="24" t="inlineStr">
        <is>
          <t>Fenotipos metabólicos; individualización nutricional</t>
        </is>
      </c>
      <c r="E19" s="64" t="inlineStr">
        <is>
          <t>Lcda. Gabriela Molina</t>
        </is>
      </c>
      <c r="F19" s="27" t="inlineStr">
        <is>
          <t>CONFIRMADO</t>
        </is>
      </c>
      <c r="G19" s="23" t="n">
        <v>30</v>
      </c>
      <c r="H19" s="24" t="inlineStr">
        <is>
          <t>Aceptó el 28/09/2026. La propuso la Lcda. Daniela Vintimilla, Directora de la Carrera de Nutrición de la U. Cuenca. Condicionó su participación a recibir certificado de docente, que se le confirmó. Faltan sus documentos.</t>
        </is>
      </c>
    </row>
    <row r="20" ht="40" customHeight="1">
      <c r="A20" s="26" t="inlineStr"/>
      <c r="B20" s="23" t="inlineStr">
        <is>
          <t>C2</t>
        </is>
      </c>
      <c r="C20" s="24" t="inlineStr">
        <is>
          <t>Estrategias nutricionales basadas en evidencia</t>
        </is>
      </c>
      <c r="D20" s="24" t="inlineStr">
        <is>
          <t>Dieta mediterránea; restricción de carbohidratos; ayuno intermitente</t>
        </is>
      </c>
      <c r="E20" s="28" t="inlineStr"/>
      <c r="F20" s="29" t="inlineStr">
        <is>
          <t>VACANTE</t>
        </is>
      </c>
      <c r="G20" s="23" t="n">
        <v>30</v>
      </c>
      <c r="H20" s="24" t="inlineStr">
        <is>
          <t>SIN PONENTE. Perfil sugerido: nutricionista clínico con experiencia en diabetes.</t>
        </is>
      </c>
    </row>
    <row r="21" ht="40" customHeight="1">
      <c r="A21" s="26" t="inlineStr"/>
      <c r="B21" s="23" t="inlineStr">
        <is>
          <t>C3</t>
        </is>
      </c>
      <c r="C21" s="24" t="inlineStr">
        <is>
          <t>Nutrición durante las terapias para obesidad</t>
        </is>
      </c>
      <c r="D21" s="24" t="inlineStr">
        <is>
          <t>Agonistas de GLP-1; tirzepatida; preservación de la masa muscular</t>
        </is>
      </c>
      <c r="E21" s="64" t="inlineStr">
        <is>
          <t>Dra. Gabriela Machado</t>
        </is>
      </c>
      <c r="F21" s="27" t="inlineStr">
        <is>
          <t>CONFIRMADO</t>
        </is>
      </c>
      <c r="G21" s="23" t="n">
        <v>30</v>
      </c>
      <c r="H21" s="24" t="inlineStr">
        <is>
          <t>Aceptó el 28/09/2026, a través de la Lcda. Daniela Vintimilla, que lo consultó con su equipo. Faltan especialidad, institución y toda la documentación.</t>
        </is>
      </c>
    </row>
    <row r="22" ht="40" customHeight="1">
      <c r="A22" s="26" t="inlineStr"/>
      <c r="B22" s="23" t="inlineStr">
        <is>
          <t>C4</t>
        </is>
      </c>
      <c r="C22" s="24" t="inlineStr">
        <is>
          <t>Composición corporal y sarcopenia en pacientes con diabetes</t>
        </is>
      </c>
      <c r="D22" s="24" t="inlineStr">
        <is>
          <t>Evaluación clínica; interpretación de la bioimpedancia; estrategias nutricionales</t>
        </is>
      </c>
      <c r="E22" s="24" t="inlineStr">
        <is>
          <t>Dra. Lizbet Ruilova</t>
        </is>
      </c>
      <c r="F22" s="27" t="inlineStr">
        <is>
          <t>CONFIRMADO</t>
        </is>
      </c>
      <c r="G22" s="23" t="n">
        <v>30</v>
      </c>
      <c r="H22" s="24" t="inlineStr">
        <is>
          <t>Confirmado el 29/09/2026. Segunda charla de la coordinadora. Revisar solapamiento con M1·C4 (Dra. Jiménez).</t>
        </is>
      </c>
    </row>
    <row r="23" ht="40" customHeight="1">
      <c r="A23" s="22" t="inlineStr">
        <is>
          <t>M6. Complicaciones cardiorrenometabólicas</t>
        </is>
      </c>
      <c r="B23" s="23" t="inlineStr">
        <is>
          <t>C1</t>
        </is>
      </c>
      <c r="C23" s="24" t="inlineStr">
        <is>
          <t>Enfermedad renal asociada a obesidad y diabetes</t>
        </is>
      </c>
      <c r="D23" s="24" t="inlineStr">
        <is>
          <t>Tamizaje y diagnóstico temprano; estratificación de riesgo; estrategias terapéuticas</t>
        </is>
      </c>
      <c r="E23" s="24" t="inlineStr">
        <is>
          <t>Dra. Valeria Andrade</t>
        </is>
      </c>
      <c r="F23" s="27" t="inlineStr">
        <is>
          <t>CONFIRMADO</t>
        </is>
      </c>
      <c r="G23" s="23" t="n">
        <v>30</v>
      </c>
      <c r="H23" s="24" t="inlineStr">
        <is>
          <t>Confirmado el 29/09/2026. Pedir aceptación formal, datos de contacto y hoja de vida.</t>
        </is>
      </c>
    </row>
    <row r="24" ht="40" customHeight="1">
      <c r="A24" s="26" t="inlineStr"/>
      <c r="B24" s="23" t="inlineStr">
        <is>
          <t>C2</t>
        </is>
      </c>
      <c r="C24" s="24" t="inlineStr">
        <is>
          <t>Riesgo cardiovascular en obesidad y diabetes</t>
        </is>
      </c>
      <c r="D24" s="24" t="inlineStr">
        <is>
          <t>Estratificación del RCV; aterosclerosis; dislipidemias; riesgo residual (no-HDL, ApoB, TG)</t>
        </is>
      </c>
      <c r="E24" s="24" t="inlineStr">
        <is>
          <t>Dr. Chih Hao Chen Ku</t>
        </is>
      </c>
      <c r="F24" s="27" t="inlineStr">
        <is>
          <t>CONFIRMADO</t>
        </is>
      </c>
      <c r="G24" s="23" t="n">
        <v>30</v>
      </c>
      <c r="H24" s="24" t="inlineStr">
        <is>
          <t>Ponente internacional. Confirmar país y si requiere trámite distinto para el aval.</t>
        </is>
      </c>
    </row>
    <row r="25" ht="40" customHeight="1">
      <c r="A25" s="26" t="inlineStr"/>
      <c r="B25" s="23" t="inlineStr">
        <is>
          <t>C3</t>
        </is>
      </c>
      <c r="C25" s="24" t="inlineStr">
        <is>
          <t>Síndrome cardiorrenometabólico</t>
        </is>
      </c>
      <c r="D25" s="24" t="inlineStr">
        <is>
          <t>Conceptos actuales; insuficiencia cardíaca; beneficios CV y renales de nuevas terapias</t>
        </is>
      </c>
      <c r="E25" s="24" t="inlineStr">
        <is>
          <t>Dr. Chih Hao Chen Ku</t>
        </is>
      </c>
      <c r="F25" s="27" t="inlineStr">
        <is>
          <t>CONFIRMADO</t>
        </is>
      </c>
      <c r="G25" s="23" t="n">
        <v>30</v>
      </c>
      <c r="H25" s="24" t="inlineStr">
        <is>
          <t>Aceptó el 22/09/2026 por correo, en reemplazo del Dr. Harold (declinó 19/09/2026). Segunda clase del mismo docente. Graba él y envía enlace del video. Faltan pasaporte y fotografía.</t>
        </is>
      </c>
    </row>
    <row r="26" ht="40" customHeight="1">
      <c r="A26" s="26" t="inlineStr"/>
      <c r="B26" s="23" t="inlineStr">
        <is>
          <t>C4</t>
        </is>
      </c>
      <c r="C26" s="24" t="inlineStr">
        <is>
          <t>MASLD y complicaciones metabólicas</t>
        </is>
      </c>
      <c r="D26" s="24" t="inlineStr">
        <is>
          <t>MASLD; enfermedad osteomuscular asociada a la obesidad; estrategias integrales</t>
        </is>
      </c>
      <c r="E26" s="24" t="inlineStr">
        <is>
          <t>Dra. Adriana Álvarez</t>
        </is>
      </c>
      <c r="F26" s="27" t="inlineStr">
        <is>
          <t>CONFIRMADO</t>
        </is>
      </c>
      <c r="G26" s="23" t="n">
        <v>30</v>
      </c>
      <c r="H26" s="24" t="inlineStr">
        <is>
          <t>La Dra. Adriana Álvarez dicta MASLD. La sarcopenia sale de esta clase por decisión de la Dra. Omidres (28/09/2026): la asume la Dra. Adriana González en M1 · C4. Faltan los datos y la documentación de la Dra. Álvarez.</t>
        </is>
      </c>
    </row>
    <row r="27" ht="40" customHeight="1">
      <c r="A27" s="22" t="inlineStr">
        <is>
          <t>M7. Salud digital y telemedicina aplicada</t>
        </is>
      </c>
      <c r="B27" s="23" t="inlineStr">
        <is>
          <t>C1</t>
        </is>
      </c>
      <c r="C27" s="24" t="inlineStr">
        <is>
          <t>Fundamentos de salud digital y telemedicina en enfermedades crónicas</t>
        </is>
      </c>
      <c r="D27" s="24" t="inlineStr">
        <is>
          <t>Marco conceptual; marco normativo de telesalud en Ecuador; modelos sincrónico/asincrónico/híbrido</t>
        </is>
      </c>
      <c r="E27" s="24" t="inlineStr">
        <is>
          <t>Dra. Omidres Pérez de Carvelli</t>
        </is>
      </c>
      <c r="F27" s="27" t="inlineStr">
        <is>
          <t>CONFIRMADO</t>
        </is>
      </c>
      <c r="G27" s="23" t="n">
        <v>30</v>
      </c>
      <c r="H27" s="24" t="inlineStr">
        <is>
          <t>VERIFICADA. Corregir en el PDF: figura como «Dra Omidrez Perez» (mal escrito).</t>
        </is>
      </c>
    </row>
    <row r="28" ht="40" customHeight="1">
      <c r="A28" s="26" t="inlineStr"/>
      <c r="B28" s="23" t="inlineStr">
        <is>
          <t>C2</t>
        </is>
      </c>
      <c r="C28" s="24" t="inlineStr">
        <is>
          <t>Monitoreo digital y tecnologías en diabetes y obesidad</t>
        </is>
      </c>
      <c r="D28" s="24" t="inlineStr">
        <is>
          <t>MCG y AGP en entornos digitales; monitoreo remoto (RPM), apps y wearables; salud conectada</t>
        </is>
      </c>
      <c r="E28" s="24" t="inlineStr">
        <is>
          <t>Dra. Ana María Gómez</t>
        </is>
      </c>
      <c r="F28" s="27" t="inlineStr">
        <is>
          <t>CONFIRMADO</t>
        </is>
      </c>
      <c r="G28" s="23" t="n">
        <v>30</v>
      </c>
      <c r="H28" s="24" t="inlineStr">
        <is>
          <t>Aceptó el 29/09/2026. Endocrinóloga, Colombia, experta en monitoreo de glucosa. QUINTO PAÍS EXTRANJERO del cuerpo docente. Se le delimitó su clase frente a M4 · C2 en la propia invitación. Falta toda la documentación.</t>
        </is>
      </c>
    </row>
    <row r="29" ht="40" customHeight="1">
      <c r="A29" s="26" t="inlineStr"/>
      <c r="B29" s="23" t="inlineStr">
        <is>
          <t>C3</t>
        </is>
      </c>
      <c r="C29" s="24" t="inlineStr">
        <is>
          <t>Terapéutica digital, inteligencia artificial y educación del paciente</t>
        </is>
      </c>
      <c r="D29" s="24" t="inlineStr">
        <is>
          <t>Terapias digitales (DTx); IA en tamizaje y apoyo a la decisión; educación digital y adherencia</t>
        </is>
      </c>
      <c r="E29" s="24" t="inlineStr">
        <is>
          <t>Dr. Fabrizio Salas</t>
        </is>
      </c>
      <c r="F29" s="27" t="inlineStr">
        <is>
          <t>CONFIRMADO</t>
        </is>
      </c>
      <c r="G29" s="23" t="n">
        <v>30</v>
      </c>
      <c r="H29" s="24" t="inlineStr">
        <is>
          <t>Aceptó el 29/09/2026. Médico epidemiólogo, experto en salud digital. ALCANCE ACORDADO: panorama general de los tres puntos, no profundizar en uno. Él propuso acotar; la Dra. Omidres pidió el panorama porque para el público del curso estos temas «se ven como ciencia ficción» y hace falta la base. Pidió la plantilla y coordinar fecha. Falta toda la documentación.</t>
        </is>
      </c>
    </row>
    <row r="30" ht="40" customHeight="1">
      <c r="A30" s="26" t="inlineStr"/>
      <c r="B30" s="23" t="inlineStr">
        <is>
          <t>C4</t>
        </is>
      </c>
      <c r="C30" s="24" t="inlineStr">
        <is>
          <t>Implementación, ética y seguridad de datos</t>
        </is>
      </c>
      <c r="D30" s="24" t="inlineStr">
        <is>
          <t>Programas híbridos (teleconsulta y telenutrición); protección de datos; interoperabilidad</t>
        </is>
      </c>
      <c r="E30" s="24" t="inlineStr">
        <is>
          <t>Dra. Omidres Pérez de Carvelli</t>
        </is>
      </c>
      <c r="F30" s="27" t="inlineStr">
        <is>
          <t>CONFIRMADO</t>
        </is>
      </c>
      <c r="G30" s="23" t="n">
        <v>30</v>
      </c>
      <c r="H30" s="24" t="inlineStr">
        <is>
          <t>Asumida por la Dra. Omidres el 23/09/2026. Segunda clase de la misma docente en el módulo 7. Entrega de la grabación: 3 de diciembre.</t>
        </is>
      </c>
    </row>
    <row r="32">
      <c r="C32" s="31" t="inlineStr">
        <is>
          <t>TOTAL CLASES</t>
        </is>
      </c>
      <c r="D32" s="32">
        <f>COUNTA(C3:C30)</f>
        <v/>
      </c>
    </row>
    <row r="33">
      <c r="C33" s="33" t="inlineStr">
        <is>
          <t>Confirmadas</t>
        </is>
      </c>
      <c r="D33" s="32">
        <f>COUNTIF(F3:F30,"CONFIRMADO")</f>
        <v/>
      </c>
    </row>
    <row r="34">
      <c r="C34" s="33" t="inlineStr">
        <is>
          <t>Por confirmar</t>
        </is>
      </c>
      <c r="D34" s="32">
        <f>COUNTIF(F3:F30,"POR CONFIRMAR")</f>
        <v/>
      </c>
    </row>
    <row r="35">
      <c r="C35" s="33" t="inlineStr">
        <is>
          <t>Vacantes</t>
        </is>
      </c>
      <c r="D35" s="32">
        <f>COUNTIF(F3:F30,"VACANTE")</f>
        <v/>
      </c>
    </row>
    <row r="36">
      <c r="C36" s="33" t="inlineStr">
        <is>
          <t>Dato incompleto</t>
        </is>
      </c>
      <c r="D36" s="32">
        <f>COUNTIF(F3:F30,"DATO INCOMPLETO")</f>
        <v/>
      </c>
    </row>
    <row r="38">
      <c r="C38" s="34" t="inlineStr">
        <is>
          <t>Minutos de grabación totales</t>
        </is>
      </c>
      <c r="D38" s="35">
        <f>SUM(G3:G30)</f>
        <v/>
      </c>
    </row>
    <row r="39">
      <c r="C39" s="34" t="inlineStr">
        <is>
          <t>Equivalente en horas de video</t>
        </is>
      </c>
      <c r="D39" s="36">
        <f>D38/60</f>
        <v/>
      </c>
    </row>
  </sheetData>
  <mergeCells count="1">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7"/>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26" customWidth="1" min="3" max="3"/>
    <col width="30" customWidth="1" min="4" max="4"/>
    <col width="28" customWidth="1" min="5" max="5"/>
    <col width="24" customWidth="1" min="6" max="6"/>
    <col width="18" customWidth="1" min="7" max="7"/>
    <col width="24" customWidth="1" min="8" max="8"/>
    <col width="30" customWidth="1" min="9" max="9"/>
    <col width="12" customWidth="1" min="10" max="10"/>
    <col width="9" customWidth="1" min="11" max="11"/>
    <col width="13" customWidth="1" min="12" max="12"/>
    <col width="20" customWidth="1" min="13" max="13"/>
    <col width="17" customWidth="1" min="14" max="14"/>
  </cols>
  <sheetData>
    <row r="1">
      <c r="A1" s="20" t="inlineStr">
        <is>
          <t>DATOS DE LOS PONENTES · Información requerida para la solicitud de aval académico</t>
        </is>
      </c>
    </row>
    <row r="2">
      <c r="A2" s="37" t="inlineStr">
        <is>
          <t>Las columnas en AMARILLO son las que hay que pedir a cada ponente. Ninguna se ha inventado: si está vacía, el dato no existe todavía.</t>
        </is>
      </c>
    </row>
    <row r="3" ht="46" customHeight="1">
      <c r="A3" s="21" t="inlineStr">
        <is>
          <t>N.º</t>
        </is>
      </c>
      <c r="B3" s="21" t="inlineStr">
        <is>
          <t>Nombre completo con títulos</t>
        </is>
      </c>
      <c r="C3" s="21" t="inlineStr">
        <is>
          <t>Especialidad</t>
        </is>
      </c>
      <c r="D3" s="21" t="inlineStr">
        <is>
          <t>Institución · Ciudad / País</t>
        </is>
      </c>
      <c r="E3" s="21" t="inlineStr">
        <is>
          <t>Correo electrónico</t>
        </is>
      </c>
      <c r="F3" s="21" t="inlineStr">
        <is>
          <t>WhatsApp (con código de país)</t>
        </is>
      </c>
      <c r="G3" s="21" t="inlineStr">
        <is>
          <t>Cédula o pasaporte</t>
        </is>
      </c>
      <c r="H3" s="21" t="inlineStr">
        <is>
          <t>Registro de título (SENESCYT u homólogo)</t>
        </is>
      </c>
      <c r="I3" s="21" t="inlineStr">
        <is>
          <t>Módulo(s) · Clase(s) a cargo</t>
        </is>
      </c>
      <c r="J3" s="21" t="inlineStr">
        <is>
          <t>Hoja de vida</t>
        </is>
      </c>
      <c r="K3" s="21" t="inlineStr">
        <is>
          <t>Foto</t>
        </is>
      </c>
      <c r="L3" s="21" t="inlineStr">
        <is>
          <t>Declaración COI</t>
        </is>
      </c>
      <c r="M3" s="21" t="inlineStr">
        <is>
          <t>Fecha compromiso de grabación</t>
        </is>
      </c>
      <c r="N3" s="21" t="inlineStr">
        <is>
          <t>Estado</t>
        </is>
      </c>
    </row>
    <row r="4" ht="30" customHeight="1">
      <c r="A4" s="38" t="n">
        <v>1</v>
      </c>
      <c r="B4" s="39" t="inlineStr">
        <is>
          <t>Dra. Omidres Pérez de Carvelli</t>
        </is>
      </c>
      <c r="C4" s="40" t="inlineStr">
        <is>
          <t>Endocrinología · Medicina Interna</t>
        </is>
      </c>
      <c r="D4" s="41" t="n"/>
      <c r="E4" s="60" t="inlineStr">
        <is>
          <t>info@draomidresperez.com</t>
        </is>
      </c>
      <c r="F4" s="60" t="inlineStr">
        <is>
          <t>+593 98 206 2988</t>
        </is>
      </c>
      <c r="G4" s="41" t="n"/>
      <c r="H4" s="41" t="n"/>
      <c r="I4" s="40" t="inlineStr">
        <is>
          <t>M7 · C1  /  M7 · C4</t>
        </is>
      </c>
      <c r="J4" s="42" t="n"/>
      <c r="K4" s="42" t="n"/>
      <c r="L4" s="42" t="n"/>
      <c r="M4" s="42" t="inlineStr">
        <is>
          <t>03/12/2026</t>
        </is>
      </c>
      <c r="N4" s="43" t="inlineStr">
        <is>
          <t>CONFIRMADO</t>
        </is>
      </c>
    </row>
    <row r="5" ht="30" customHeight="1">
      <c r="A5" s="38" t="n">
        <v>2</v>
      </c>
      <c r="B5" s="39" t="inlineStr">
        <is>
          <t>Lcda. Isabel Reinoso</t>
        </is>
      </c>
      <c r="C5" s="40" t="inlineStr">
        <is>
          <t>Nutriología</t>
        </is>
      </c>
      <c r="D5" s="41" t="n"/>
      <c r="E5" s="41" t="n"/>
      <c r="F5" s="60" t="inlineStr">
        <is>
          <t>+593 98 736 8816</t>
        </is>
      </c>
      <c r="G5" s="41" t="n"/>
      <c r="H5" s="41" t="n"/>
      <c r="I5" s="40" t="inlineStr">
        <is>
          <t>M2 · C1</t>
        </is>
      </c>
      <c r="J5" s="42" t="n"/>
      <c r="K5" s="42" t="n"/>
      <c r="L5" s="42" t="n"/>
      <c r="M5" s="42" t="n"/>
      <c r="N5" s="43" t="inlineStr">
        <is>
          <t>CONFIRMADO</t>
        </is>
      </c>
    </row>
    <row r="6" ht="30" customHeight="1">
      <c r="A6" s="38" t="n">
        <v>3</v>
      </c>
      <c r="B6" s="52" t="inlineStr">
        <is>
          <t>Dra. Johanna Piedra Bravo</t>
        </is>
      </c>
      <c r="C6" s="53" t="inlineStr">
        <is>
          <t>Nutriología y Diabetología · Magíster en Diabetes</t>
        </is>
      </c>
      <c r="D6" s="53" t="inlineStr">
        <is>
          <t>Hospital del Río y Hospital Vicente Corral Moscoso · Cuenca, Ecuador</t>
        </is>
      </c>
      <c r="E6" s="41" t="n"/>
      <c r="F6" s="60" t="inlineStr">
        <is>
          <t>+593 98 765 4330</t>
        </is>
      </c>
      <c r="G6" s="41" t="n"/>
      <c r="H6" s="41" t="n"/>
      <c r="I6" s="40" t="inlineStr">
        <is>
          <t>M2 · C2</t>
        </is>
      </c>
      <c r="J6" s="54" t="inlineStr">
        <is>
          <t>SÍ</t>
        </is>
      </c>
      <c r="K6" s="42" t="n"/>
      <c r="L6" s="42" t="n"/>
      <c r="M6" s="42" t="n"/>
      <c r="N6" s="43" t="inlineStr">
        <is>
          <t>CONFIRMADO</t>
        </is>
      </c>
    </row>
    <row r="7" ht="30" customHeight="1">
      <c r="A7" s="38" t="n">
        <v>4</v>
      </c>
      <c r="B7" s="39" t="inlineStr">
        <is>
          <t>Dr. Frank Espinoza</t>
        </is>
      </c>
      <c r="C7" s="41" t="n"/>
      <c r="D7" s="41" t="inlineStr">
        <is>
          <t>Perú (institución y ciudad por confirmar)</t>
        </is>
      </c>
      <c r="E7" s="41" t="n"/>
      <c r="F7" s="41" t="inlineStr">
        <is>
          <t>+51 936 260 715</t>
        </is>
      </c>
      <c r="G7" s="41" t="n"/>
      <c r="H7" s="41" t="n"/>
      <c r="I7" s="40" t="inlineStr">
        <is>
          <t>M3 · C2</t>
        </is>
      </c>
      <c r="J7" s="42" t="n"/>
      <c r="K7" s="42" t="n"/>
      <c r="L7" s="42" t="n"/>
      <c r="M7" s="42" t="n"/>
      <c r="N7" s="43" t="inlineStr">
        <is>
          <t>CONFIRMADO</t>
        </is>
      </c>
    </row>
    <row r="8" ht="30" customHeight="1">
      <c r="A8" s="38" t="n">
        <v>5</v>
      </c>
      <c r="B8" s="39" t="inlineStr">
        <is>
          <t>Dra. Teresa Cuatecontzi</t>
        </is>
      </c>
      <c r="C8" s="41" t="n"/>
      <c r="D8" s="53" t="inlineStr">
        <is>
          <t>México (institución y ciudad por confirmar)</t>
        </is>
      </c>
      <c r="E8" s="41" t="n"/>
      <c r="F8" s="41" t="inlineStr">
        <is>
          <t>+52 1 55 5405 6619</t>
        </is>
      </c>
      <c r="G8" s="41" t="n"/>
      <c r="H8" s="41" t="n"/>
      <c r="I8" s="40" t="inlineStr">
        <is>
          <t>M3 · C3</t>
        </is>
      </c>
      <c r="J8" s="42" t="n"/>
      <c r="K8" s="42" t="n"/>
      <c r="L8" s="42" t="n"/>
      <c r="M8" s="42" t="n"/>
      <c r="N8" s="43" t="inlineStr">
        <is>
          <t>CONFIRMADO</t>
        </is>
      </c>
    </row>
    <row r="9" ht="30" customHeight="1">
      <c r="A9" s="38" t="n">
        <v>6</v>
      </c>
      <c r="B9" s="52" t="inlineStr">
        <is>
          <t>Dra. Josefa Elizabeth Palacio Riofrío</t>
        </is>
      </c>
      <c r="C9" s="53" t="inlineStr">
        <is>
          <t>Endocrinología · Diabetes y Metabolismo</t>
        </is>
      </c>
      <c r="D9" s="53" t="inlineStr">
        <is>
          <t>Omni Hospital e Interhospital · Guayaquil, Ecuador</t>
        </is>
      </c>
      <c r="E9" s="41" t="n"/>
      <c r="F9" s="53" t="inlineStr">
        <is>
          <t>+593 96 816 1654</t>
        </is>
      </c>
      <c r="G9" s="53" t="inlineStr">
        <is>
          <t>1103520233</t>
        </is>
      </c>
      <c r="H9" s="41" t="n"/>
      <c r="I9" s="40" t="inlineStr">
        <is>
          <t>M4 · C2</t>
        </is>
      </c>
      <c r="J9" s="54" t="inlineStr">
        <is>
          <t>SÍ</t>
        </is>
      </c>
      <c r="K9" s="42" t="n"/>
      <c r="L9" s="42" t="n"/>
      <c r="M9" s="42" t="n"/>
      <c r="N9" s="43" t="inlineStr">
        <is>
          <t>CONFIRMADO</t>
        </is>
      </c>
    </row>
    <row r="10" ht="30" customHeight="1">
      <c r="A10" s="38" t="n">
        <v>7</v>
      </c>
      <c r="B10" s="52" t="inlineStr">
        <is>
          <t>Dr. Chih Hao Chen Ku, M.Sc.</t>
        </is>
      </c>
      <c r="C10" s="53" t="inlineStr">
        <is>
          <t>Endocrinología · Farmacología</t>
        </is>
      </c>
      <c r="D10" s="53" t="inlineStr">
        <is>
          <t>Clínica Los Yoses · San José, Costa Rica</t>
        </is>
      </c>
      <c r="E10" s="60" t="inlineStr">
        <is>
          <t>chenku2409@gmail.com</t>
        </is>
      </c>
      <c r="F10" s="60" t="inlineStr">
        <is>
          <t>+506 8392 7083</t>
        </is>
      </c>
      <c r="G10" s="41" t="n"/>
      <c r="H10" s="41" t="n"/>
      <c r="I10" s="40" t="inlineStr">
        <is>
          <t>M6 · C2  /  M6 · C3</t>
        </is>
      </c>
      <c r="J10" s="54" t="inlineStr">
        <is>
          <t>SÍ</t>
        </is>
      </c>
      <c r="K10" s="42" t="n"/>
      <c r="L10" s="42" t="inlineStr">
        <is>
          <t>SÍ</t>
        </is>
      </c>
      <c r="M10" s="42" t="inlineStr">
        <is>
          <t>26/11/2026</t>
        </is>
      </c>
      <c r="N10" s="43" t="inlineStr">
        <is>
          <t>CONFIRMADO</t>
        </is>
      </c>
    </row>
    <row r="11" ht="30" customHeight="1">
      <c r="A11" s="38" t="n">
        <v>8</v>
      </c>
      <c r="B11" s="39" t="inlineStr">
        <is>
          <t>Dra. Adriana Mabel Álvarez</t>
        </is>
      </c>
      <c r="C11" s="41" t="inlineStr">
        <is>
          <t>Endocrinología · Comité de Esteatosis Hepática Metabólica (SAD) · Coordinadora del Grupo Obesidad-MASH de ALAD · Vocal Región Sur de ALAD</t>
        </is>
      </c>
      <c r="D11" s="41" t="inlineStr">
        <is>
          <t>Hospital Italiano de Buenos Aires · Buenos Aires, Argentina</t>
        </is>
      </c>
      <c r="E11" s="41" t="n"/>
      <c r="F11" s="41" t="inlineStr">
        <is>
          <t>+54 9 11 6708-1708</t>
        </is>
      </c>
      <c r="G11" s="41" t="inlineStr">
        <is>
          <t>Pasaporte AAI843846 (vence 28/03/2033) · DNI 14.456.727</t>
        </is>
      </c>
      <c r="H11" s="41" t="n"/>
      <c r="I11" s="40" t="inlineStr">
        <is>
          <t>M6 · C4 (MASLD y complicaciones metabólicas)</t>
        </is>
      </c>
      <c r="J11" s="42" t="n"/>
      <c r="K11" s="42" t="inlineStr">
        <is>
          <t>PARCIAL — solo la del pasaporte</t>
        </is>
      </c>
      <c r="L11" s="42" t="inlineStr">
        <is>
          <t>PENDIENTE — declaró sin conflicto de palabra; falta el formato firmado</t>
        </is>
      </c>
      <c r="M11" s="42" t="inlineStr">
        <is>
          <t>26/11/2026</t>
        </is>
      </c>
      <c r="N11" s="43" t="inlineStr">
        <is>
          <t>CONFIRMADO — faltan hoja de vida, foto profesional y COI firmada</t>
        </is>
      </c>
    </row>
    <row r="12" ht="30" customHeight="1">
      <c r="A12" s="38" t="n">
        <v>9</v>
      </c>
      <c r="B12" s="52" t="inlineStr">
        <is>
          <t>Dra. Lizbet Yolanda Ruilova González</t>
        </is>
      </c>
      <c r="C12" s="53" t="inlineStr">
        <is>
          <t>Endocrinología · Medicina Interna</t>
        </is>
      </c>
      <c r="D12" s="53" t="inlineStr">
        <is>
          <t>SOLCA, Hospital Monte Sinaí y Universidad de Cuenca · Cuenca, Ecuador</t>
        </is>
      </c>
      <c r="E12" s="53" t="inlineStr">
        <is>
          <t>lizrg@hotmail.com</t>
        </is>
      </c>
      <c r="F12" s="60" t="inlineStr">
        <is>
          <t>+593 99 907 3471</t>
        </is>
      </c>
      <c r="G12" s="41" t="n"/>
      <c r="H12" s="41" t="n"/>
      <c r="I12" s="40" t="inlineStr">
        <is>
          <t>M1 · C1  /  M5 · C4</t>
        </is>
      </c>
      <c r="J12" s="54" t="inlineStr">
        <is>
          <t>SÍ</t>
        </is>
      </c>
      <c r="K12" s="42" t="n"/>
      <c r="L12" s="42" t="n"/>
      <c r="M12" s="42" t="n"/>
      <c r="N12" s="44" t="inlineStr">
        <is>
          <t>CONFIRMADO</t>
        </is>
      </c>
    </row>
    <row r="13" ht="30" customHeight="1">
      <c r="A13" s="38" t="n">
        <v>10</v>
      </c>
      <c r="B13" s="39" t="inlineStr">
        <is>
          <t>Dr. Pablo Vanegas</t>
        </is>
      </c>
      <c r="C13" s="41" t="inlineStr">
        <is>
          <t>Endocrinología</t>
        </is>
      </c>
      <c r="D13" s="41" t="n"/>
      <c r="E13" s="60" t="inlineStr">
        <is>
          <t>pablo.vanegas90@gmail.com</t>
        </is>
      </c>
      <c r="F13" s="60" t="inlineStr">
        <is>
          <t>+593 98 765 3136</t>
        </is>
      </c>
      <c r="G13" s="41" t="n"/>
      <c r="H13" s="41" t="n"/>
      <c r="I13" s="40" t="inlineStr">
        <is>
          <t>M1 · C2  /  M3 · C1</t>
        </is>
      </c>
      <c r="J13" s="42" t="n"/>
      <c r="K13" s="42" t="n"/>
      <c r="L13" s="42" t="n"/>
      <c r="M13" s="42" t="n"/>
      <c r="N13" s="44" t="inlineStr">
        <is>
          <t>CONFIRMADO</t>
        </is>
      </c>
    </row>
    <row r="14" ht="30" customHeight="1">
      <c r="A14" s="38" t="n">
        <v>11</v>
      </c>
      <c r="B14" s="39" t="inlineStr">
        <is>
          <t>Dra. María Augusta Astudillo</t>
        </is>
      </c>
      <c r="C14" s="41" t="inlineStr">
        <is>
          <t>Endocrinología</t>
        </is>
      </c>
      <c r="D14" s="41" t="n"/>
      <c r="E14" s="41" t="n"/>
      <c r="F14" s="60" t="inlineStr">
        <is>
          <t>+593 99 811 1635</t>
        </is>
      </c>
      <c r="G14" s="41" t="n"/>
      <c r="H14" s="41" t="n"/>
      <c r="I14" s="40" t="inlineStr">
        <is>
          <t>M1 · C3</t>
        </is>
      </c>
      <c r="J14" s="42" t="n"/>
      <c r="K14" s="42" t="n"/>
      <c r="L14" s="42" t="n"/>
      <c r="M14" s="42" t="n"/>
      <c r="N14" s="44" t="inlineStr">
        <is>
          <t>CONFIRMADO — declinó M4 · C1 el 25/09</t>
        </is>
      </c>
    </row>
    <row r="15" ht="30" customHeight="1">
      <c r="A15" s="38" t="n">
        <v>12</v>
      </c>
      <c r="B15" s="39" t="inlineStr">
        <is>
          <t>Dra. Gabriela Jiménez</t>
        </is>
      </c>
      <c r="C15" s="41" t="inlineStr">
        <is>
          <t>Endocrinología</t>
        </is>
      </c>
      <c r="D15" s="41" t="n"/>
      <c r="E15" s="41" t="n"/>
      <c r="F15" s="60" t="inlineStr">
        <is>
          <t>+593 99 807 8964</t>
        </is>
      </c>
      <c r="G15" s="41" t="n"/>
      <c r="H15" s="41" t="n"/>
      <c r="I15" s="40" t="inlineStr">
        <is>
          <t>M4 · C3</t>
        </is>
      </c>
      <c r="J15" s="42" t="n"/>
      <c r="K15" s="42" t="n"/>
      <c r="L15" s="42" t="n"/>
      <c r="M15" s="42" t="n"/>
      <c r="N15" s="44" t="inlineStr">
        <is>
          <t>CONFIRMADO — declinó M1 · C4 el 25/09</t>
        </is>
      </c>
    </row>
    <row r="16" ht="30" customHeight="1">
      <c r="A16" s="38" t="n">
        <v>13</v>
      </c>
      <c r="B16" s="39" t="inlineStr">
        <is>
          <t>Dr. Juan Molina</t>
        </is>
      </c>
      <c r="C16" s="41" t="inlineStr">
        <is>
          <t>Endocrinología</t>
        </is>
      </c>
      <c r="D16" s="41" t="n"/>
      <c r="E16" s="41" t="n"/>
      <c r="F16" s="60" t="inlineStr">
        <is>
          <t>+593 99 862 5711</t>
        </is>
      </c>
      <c r="G16" s="41" t="n"/>
      <c r="H16" s="41" t="n"/>
      <c r="I16" s="40" t="inlineStr">
        <is>
          <t>M4 · C4</t>
        </is>
      </c>
      <c r="J16" s="42" t="n"/>
      <c r="K16" s="42" t="n"/>
      <c r="L16" s="42" t="n"/>
      <c r="M16" s="42" t="n"/>
      <c r="N16" s="44" t="inlineStr">
        <is>
          <t>CONFIRMADO</t>
        </is>
      </c>
    </row>
    <row r="17" ht="30" customHeight="1">
      <c r="A17" s="38" t="n">
        <v>14</v>
      </c>
      <c r="B17" s="39" t="inlineStr">
        <is>
          <t>Dra. Valeria Andrade</t>
        </is>
      </c>
      <c r="C17" s="41" t="n"/>
      <c r="D17" s="41" t="inlineStr">
        <is>
          <t>Ecuador (institución y ciudad por confirmar)</t>
        </is>
      </c>
      <c r="E17" s="41" t="n"/>
      <c r="F17" s="41" t="inlineStr">
        <is>
          <t>+593 98 335 5686</t>
        </is>
      </c>
      <c r="G17" s="41" t="n"/>
      <c r="H17" s="41" t="n"/>
      <c r="I17" s="40" t="inlineStr">
        <is>
          <t>M6 · C1</t>
        </is>
      </c>
      <c r="J17" s="42" t="n"/>
      <c r="K17" s="42" t="n"/>
      <c r="L17" s="42" t="n"/>
      <c r="M17" s="42" t="n"/>
      <c r="N17" s="44" t="inlineStr">
        <is>
          <t>CONFIRMADO</t>
        </is>
      </c>
    </row>
    <row r="18" ht="30" customHeight="1">
      <c r="A18" s="54" t="n">
        <v>15</v>
      </c>
      <c r="B18" s="52" t="inlineStr">
        <is>
          <t>Dra. Janneth Bermeo Cabrera</t>
        </is>
      </c>
      <c r="C18" s="53" t="inlineStr">
        <is>
          <t>Medicina Interna · Subespecialista en Endocrinología · Alta especialidad en Obesidad y Enfermedades Tiroideas (UNAM)</t>
        </is>
      </c>
      <c r="D18" s="53" t="inlineStr">
        <is>
          <t>Hospital del Río · Cuenca, Ecuador</t>
        </is>
      </c>
      <c r="E18" s="41" t="inlineStr">
        <is>
          <t>jbendocrino@hotmail.com</t>
        </is>
      </c>
      <c r="F18" s="41" t="inlineStr">
        <is>
          <t>+593 96 198 1203</t>
        </is>
      </c>
      <c r="G18" s="41" t="n"/>
      <c r="H18" s="41" t="n"/>
      <c r="I18" s="54" t="inlineStr">
        <is>
          <t>M2 · C3</t>
        </is>
      </c>
      <c r="J18" s="42" t="inlineStr">
        <is>
          <t>SÍ</t>
        </is>
      </c>
      <c r="K18" s="42" t="n"/>
      <c r="L18" s="42" t="n"/>
      <c r="M18" s="42" t="n"/>
      <c r="N18" s="65" t="inlineStr">
        <is>
          <t>CONFIRMADO — declaración COI llena, pendiente de firma electrónica</t>
        </is>
      </c>
    </row>
    <row r="19">
      <c r="A19" s="54" t="n">
        <v>16</v>
      </c>
      <c r="B19" s="52" t="inlineStr">
        <is>
          <t>Dra. María Paz Castillo Cabrera</t>
        </is>
      </c>
      <c r="C19" s="53" t="inlineStr">
        <is>
          <t>Endocrinología</t>
        </is>
      </c>
      <c r="D19" s="53" t="inlineStr">
        <is>
          <t>POR VERIFICAR — el teléfono es +52 (México), pero podría ser la misma persona vinculada al trámite de avales en Cuenca</t>
        </is>
      </c>
      <c r="E19" s="41" t="n"/>
      <c r="F19" s="41" t="inlineStr">
        <is>
          <t>+52 1 56 2489 0698</t>
        </is>
      </c>
      <c r="G19" s="41" t="n"/>
      <c r="H19" s="41" t="n"/>
      <c r="I19" s="54" t="inlineStr">
        <is>
          <t>M4 · C1</t>
        </is>
      </c>
      <c r="J19" s="42" t="n"/>
      <c r="K19" s="42" t="n"/>
      <c r="L19" s="42" t="n"/>
      <c r="M19" s="42" t="inlineStr">
        <is>
          <t>12/11/2026</t>
        </is>
      </c>
      <c r="N19" s="65" t="inlineStr">
        <is>
          <t>CONFIRMADO — identidad y país por verificar con la Dra. Ruilova · posible conflicto de interés</t>
        </is>
      </c>
    </row>
    <row r="20">
      <c r="A20" s="54" t="n">
        <v>17</v>
      </c>
      <c r="B20" s="52" t="inlineStr">
        <is>
          <t>Dr. Cristian Castillo</t>
        </is>
      </c>
      <c r="C20" s="53" t="inlineStr">
        <is>
          <t>Cirugía bariátrica y metabólica</t>
        </is>
      </c>
      <c r="D20" s="53" t="n"/>
      <c r="E20" s="41" t="n"/>
      <c r="F20" s="41" t="inlineStr">
        <is>
          <t>+593 97 965 3154</t>
        </is>
      </c>
      <c r="G20" s="41" t="n"/>
      <c r="H20" s="41" t="n"/>
      <c r="I20" s="54" t="inlineStr">
        <is>
          <t>M3 · C4</t>
        </is>
      </c>
      <c r="J20" s="42" t="n"/>
      <c r="K20" s="42" t="n"/>
      <c r="L20" s="42" t="n"/>
      <c r="M20" s="42" t="n"/>
      <c r="N20" s="65" t="inlineStr">
        <is>
          <t>CONFIRMADO — falta documentación</t>
        </is>
      </c>
    </row>
    <row r="21">
      <c r="A21" s="54" t="n">
        <v>18</v>
      </c>
      <c r="B21" s="52" t="inlineStr">
        <is>
          <t>Dra. Julia Castro</t>
        </is>
      </c>
      <c r="C21" s="53" t="inlineStr">
        <is>
          <t>Fisioterapia</t>
        </is>
      </c>
      <c r="D21" s="53" t="n"/>
      <c r="E21" s="41" t="n"/>
      <c r="F21" s="41" t="inlineStr">
        <is>
          <t>+593 99 208 7747</t>
        </is>
      </c>
      <c r="G21" s="41" t="n"/>
      <c r="H21" s="41" t="n"/>
      <c r="I21" s="54" t="inlineStr">
        <is>
          <t>M2 · C4</t>
        </is>
      </c>
      <c r="J21" s="42" t="n"/>
      <c r="K21" s="42" t="n"/>
      <c r="L21" s="42" t="n"/>
      <c r="M21" s="42" t="inlineStr">
        <is>
          <t>29/10/2026</t>
        </is>
      </c>
      <c r="N21" s="65" t="inlineStr">
        <is>
          <t>CONFIRMADO — falta documentación · ENTREGA MÁS PRÓXIMA DEL CURSO</t>
        </is>
      </c>
    </row>
    <row r="22">
      <c r="A22" s="54" t="n">
        <v>19</v>
      </c>
      <c r="B22" s="52" t="inlineStr">
        <is>
          <t>Lcda. Gabriela Molina</t>
        </is>
      </c>
      <c r="C22" s="53" t="inlineStr">
        <is>
          <t>Nutrición</t>
        </is>
      </c>
      <c r="D22" s="53" t="inlineStr">
        <is>
          <t>MSP · Cuenca, Ecuador (por confirmar el vínculo con la Carrera de Nutrición de la U. Cuenca)</t>
        </is>
      </c>
      <c r="E22" s="41" t="n"/>
      <c r="F22" s="41" t="inlineStr">
        <is>
          <t>+593 99 551 4286</t>
        </is>
      </c>
      <c r="G22" s="41" t="n"/>
      <c r="H22" s="41" t="n"/>
      <c r="I22" s="54" t="inlineStr">
        <is>
          <t>M5 · C1</t>
        </is>
      </c>
      <c r="J22" s="42" t="n"/>
      <c r="K22" s="42" t="n"/>
      <c r="L22" s="42" t="n"/>
      <c r="M22" s="42" t="n"/>
      <c r="N22" s="65" t="inlineStr">
        <is>
          <t>CONFIRMADO — faltan todos los documentos</t>
        </is>
      </c>
    </row>
    <row r="23">
      <c r="A23" s="54" t="n">
        <v>20</v>
      </c>
      <c r="B23" s="52" t="inlineStr">
        <is>
          <t>Dra. Gabriela Machado</t>
        </is>
      </c>
      <c r="C23" s="53" t="n"/>
      <c r="D23" s="53" t="n"/>
      <c r="E23" s="41" t="n"/>
      <c r="F23" s="41" t="inlineStr">
        <is>
          <t>+593 99 502 5774</t>
        </is>
      </c>
      <c r="G23" s="41" t="n"/>
      <c r="H23" s="41" t="n"/>
      <c r="I23" s="54" t="inlineStr">
        <is>
          <t>M5 · C3</t>
        </is>
      </c>
      <c r="J23" s="42" t="n"/>
      <c r="K23" s="42" t="n"/>
      <c r="L23" s="42" t="n"/>
      <c r="M23" s="42" t="n"/>
      <c r="N23" s="65" t="inlineStr">
        <is>
          <t>CONFIRMADO — faltan especialidad, institución y documentación</t>
        </is>
      </c>
    </row>
    <row r="24">
      <c r="A24" s="54" t="n">
        <v>21</v>
      </c>
      <c r="B24" s="52" t="inlineStr">
        <is>
          <t>Dra. Ana María Gómez</t>
        </is>
      </c>
      <c r="C24" s="53" t="inlineStr">
        <is>
          <t>Endocrinología · experta en monitoreo de glucosa</t>
        </is>
      </c>
      <c r="D24" s="53" t="inlineStr">
        <is>
          <t>Colombia (institución y ciudad por confirmar)</t>
        </is>
      </c>
      <c r="E24" s="41" t="n"/>
      <c r="F24" s="41" t="inlineStr">
        <is>
          <t>+57 310 488 4626</t>
        </is>
      </c>
      <c r="G24" s="41" t="n"/>
      <c r="H24" s="41" t="n"/>
      <c r="I24" s="54" t="inlineStr">
        <is>
          <t>M7 · C2</t>
        </is>
      </c>
      <c r="J24" s="42" t="n"/>
      <c r="K24" s="42" t="n"/>
      <c r="L24" s="42" t="n"/>
      <c r="M24" s="42" t="inlineStr">
        <is>
          <t>03/12/2026</t>
        </is>
      </c>
      <c r="N24" s="65" t="inlineStr">
        <is>
          <t>CONFIRMADO — falta toda la documentación</t>
        </is>
      </c>
    </row>
    <row r="25">
      <c r="A25" s="54" t="n">
        <v>22</v>
      </c>
      <c r="B25" s="52" t="inlineStr">
        <is>
          <t>Dr. Fabrizio Salas</t>
        </is>
      </c>
      <c r="C25" s="53" t="inlineStr">
        <is>
          <t>Medicina · Epidemiología · Salud digital e interoperabilidad</t>
        </is>
      </c>
      <c r="D25" s="53" t="inlineStr">
        <is>
          <t>Ecuador (institución por confirmar)</t>
        </is>
      </c>
      <c r="E25" s="41" t="n"/>
      <c r="F25" s="41" t="inlineStr">
        <is>
          <t>+593 99 381 4728</t>
        </is>
      </c>
      <c r="G25" s="41" t="n"/>
      <c r="H25" s="41" t="n"/>
      <c r="I25" s="54" t="inlineStr">
        <is>
          <t>M7 · C3</t>
        </is>
      </c>
      <c r="J25" s="42" t="n"/>
      <c r="K25" s="42" t="n"/>
      <c r="L25" s="42" t="n"/>
      <c r="M25" s="42" t="inlineStr">
        <is>
          <t>03/12/2026</t>
        </is>
      </c>
      <c r="N25" s="65" t="inlineStr">
        <is>
          <t>CONFIRMADO — falta toda la documentación</t>
        </is>
      </c>
    </row>
    <row r="26">
      <c r="A26" s="54" t="n">
        <v>23</v>
      </c>
      <c r="B26" s="52" t="inlineStr">
        <is>
          <t>Dra. Adriana González</t>
        </is>
      </c>
      <c r="C26" s="53" t="inlineStr">
        <is>
          <t>Endocrinología · Tesorera de ALAD</t>
        </is>
      </c>
      <c r="D26" s="53" t="inlineStr">
        <is>
          <t>Ecuador (institución y ciudad por confirmar)</t>
        </is>
      </c>
      <c r="E26" s="41" t="n"/>
      <c r="F26" s="41" t="inlineStr">
        <is>
          <t>+593 99 602 1221</t>
        </is>
      </c>
      <c r="G26" s="41" t="n"/>
      <c r="H26" s="41" t="n"/>
      <c r="I26" s="54" t="inlineStr">
        <is>
          <t>M1 · C4</t>
        </is>
      </c>
      <c r="J26" s="42" t="n"/>
      <c r="K26" s="42" t="n"/>
      <c r="L26" s="42" t="n"/>
      <c r="M26" s="42" t="inlineStr">
        <is>
          <t>29/10/2026</t>
        </is>
      </c>
      <c r="N26" s="65" t="inlineStr">
        <is>
          <t>CONFIRMADO — falta toda la documentación</t>
        </is>
      </c>
    </row>
    <row r="27"/>
  </sheetData>
  <dataValidations count="1">
    <dataValidation sqref="J4:L18" showDropDown="0" showInputMessage="0" showErrorMessage="0" allowBlank="1" type="list">
      <formula1>"SÍ,NO,PENDIENTE"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5"/>
  <sheetViews>
    <sheetView showGridLines="0" workbookViewId="0">
      <selection activeCell="A1" sqref="A1"/>
    </sheetView>
  </sheetViews>
  <sheetFormatPr baseColWidth="8" defaultRowHeight="15"/>
  <cols>
    <col width="7" customWidth="1" min="1" max="1"/>
    <col width="14" customWidth="1" min="2" max="2"/>
    <col width="44" customWidth="1" min="3" max="3"/>
    <col width="40" customWidth="1" min="4" max="4"/>
    <col width="30" customWidth="1" min="5" max="5"/>
    <col width="30" customWidth="1" min="6" max="6"/>
    <col width="22" customWidth="1" min="7" max="7"/>
  </cols>
  <sheetData>
    <row r="1">
      <c r="A1" s="20" t="inlineStr">
        <is>
          <t>LAS 9 CLASES SIN PONENTE · Prioridad de gestión</t>
        </is>
      </c>
    </row>
    <row r="2">
      <c r="A2" s="49" t="inlineStr">
        <is>
          <t>Los perfiles sugeridos son una recomendación académica, no una asignación. Los candidatos los define SEDA.</t>
        </is>
      </c>
    </row>
    <row r="3" ht="34" customHeight="1">
      <c r="A3" s="21" t="inlineStr">
        <is>
          <t>Prio.</t>
        </is>
      </c>
      <c r="B3" s="21" t="inlineStr">
        <is>
          <t>Módulo · Clase</t>
        </is>
      </c>
      <c r="C3" s="21" t="inlineStr">
        <is>
          <t>Tema</t>
        </is>
      </c>
      <c r="D3" s="21" t="inlineStr">
        <is>
          <t>Perfil profesional sugerido</t>
        </is>
      </c>
      <c r="E3" s="21" t="inlineStr">
        <is>
          <t>Candidato propuesto</t>
        </is>
      </c>
      <c r="F3" s="21" t="inlineStr">
        <is>
          <t>Contacto (WhatsApp / correo)</t>
        </is>
      </c>
      <c r="G3" s="21" t="inlineStr">
        <is>
          <t>Estado de la gestión</t>
        </is>
      </c>
    </row>
    <row r="4" ht="32" customHeight="1">
      <c r="A4" s="50" t="n">
        <v>1</v>
      </c>
      <c r="B4" s="39" t="inlineStr">
        <is>
          <t>M5 · C1</t>
        </is>
      </c>
      <c r="C4" s="40" t="inlineStr">
        <is>
          <t>Nutrición de precisión en diabetes y obesidad</t>
        </is>
      </c>
      <c r="D4" s="40" t="inlineStr">
        <is>
          <t>Nutricionista clínico o endocrinólogo con línea en nutrición de precisión</t>
        </is>
      </c>
      <c r="E4" s="41" t="inlineStr">
        <is>
          <t>Lcda. Gabriela Molina</t>
        </is>
      </c>
      <c r="F4" s="41" t="inlineStr">
        <is>
          <t>+593 99 551 4286</t>
        </is>
      </c>
      <c r="G4" s="41" t="inlineStr">
        <is>
          <t>CUBIERTA — aceptó el 28/09/2026</t>
        </is>
      </c>
    </row>
    <row r="5" ht="32" customHeight="1">
      <c r="A5" s="50" t="n">
        <v>1</v>
      </c>
      <c r="B5" s="39" t="inlineStr">
        <is>
          <t>M5 · C2</t>
        </is>
      </c>
      <c r="C5" s="40" t="inlineStr">
        <is>
          <t>Estrategias nutricionales basadas en evidencia</t>
        </is>
      </c>
      <c r="D5" s="40" t="inlineStr">
        <is>
          <t>Nutricionista clínico con experiencia en diabetes</t>
        </is>
      </c>
      <c r="E5" s="41" t="inlineStr">
        <is>
          <t>Lcda. María Augusta Vásquez — nutrición</t>
        </is>
      </c>
      <c r="F5" s="41" t="inlineStr">
        <is>
          <t>+593 99 994 9812</t>
        </is>
      </c>
      <c r="G5" s="41" t="inlineStr">
        <is>
          <t>La Dra. Gaby Villavicencio no respondió en seis días a la invitación del 23/09. Se reasigna la gestión el 29/09. PENDIENTE DE INVITAR.</t>
        </is>
      </c>
    </row>
    <row r="6" ht="32" customHeight="1">
      <c r="A6" s="50" t="n">
        <v>1</v>
      </c>
      <c r="B6" s="39" t="inlineStr">
        <is>
          <t>M5 · C3</t>
        </is>
      </c>
      <c r="C6" s="40" t="inlineStr">
        <is>
          <t>Nutrición durante las terapias para obesidad (GLP-1 / tirzepatida)</t>
        </is>
      </c>
      <c r="D6" s="40" t="inlineStr">
        <is>
          <t>Nutricionista clínico o endocrinólogo; tema de alta demanda</t>
        </is>
      </c>
      <c r="E6" s="62" t="inlineStr">
        <is>
          <t>Dra. Gabriela Machado</t>
        </is>
      </c>
      <c r="F6" s="41" t="inlineStr">
        <is>
          <t>+593 99 502 5774</t>
        </is>
      </c>
      <c r="G6" s="63" t="inlineStr">
        <is>
          <t>CUBIERTA — aceptó el 28/09/2026</t>
        </is>
      </c>
    </row>
    <row r="7" ht="32" customHeight="1">
      <c r="A7" s="50" t="n">
        <v>2</v>
      </c>
      <c r="B7" s="39" t="inlineStr">
        <is>
          <t>M7 · C2</t>
        </is>
      </c>
      <c r="C7" s="40" t="inlineStr">
        <is>
          <t>Monitoreo digital y tecnologías en diabetes y obesidad</t>
        </is>
      </c>
      <c r="D7" s="40" t="inlineStr">
        <is>
          <t>Endocrinólogo con experiencia en MCG/tecnología en diabetes</t>
        </is>
      </c>
      <c r="E7" s="62" t="inlineStr">
        <is>
          <t>Dra. Ana María Gómez — endocrinóloga, Colombia</t>
        </is>
      </c>
      <c r="F7" s="41" t="inlineStr">
        <is>
          <t>+57 310 488 4626</t>
        </is>
      </c>
      <c r="G7" s="63" t="inlineStr">
        <is>
          <t>CUBIERTA — aceptó el 29/09/2026</t>
        </is>
      </c>
    </row>
    <row r="8" ht="32" customHeight="1">
      <c r="A8" s="50" t="n">
        <v>2</v>
      </c>
      <c r="B8" s="39" t="inlineStr">
        <is>
          <t>M7 · C3</t>
        </is>
      </c>
      <c r="C8" s="40" t="inlineStr">
        <is>
          <t>Terapéutica digital, IA y educación del paciente</t>
        </is>
      </c>
      <c r="D8" s="40" t="inlineStr">
        <is>
          <t>Informática médica / IA aplicada a salud</t>
        </is>
      </c>
      <c r="E8" s="41" t="inlineStr">
        <is>
          <t>Dr. Fabrizio Salas — médico epidemiólogo, experto en salud digital</t>
        </is>
      </c>
      <c r="F8" s="41" t="inlineStr">
        <is>
          <t>+593 99 381 4728</t>
        </is>
      </c>
      <c r="G8" s="41" t="inlineStr">
        <is>
          <t>CUBIERTA — aceptó el 29/09/2026</t>
        </is>
      </c>
    </row>
    <row r="9" ht="32" customHeight="1">
      <c r="A9" s="50" t="n">
        <v>2</v>
      </c>
      <c r="B9" s="39" t="inlineStr">
        <is>
          <t>M7 · C4</t>
        </is>
      </c>
      <c r="C9" s="40" t="inlineStr">
        <is>
          <t>Implementación, ética y seguridad de datos</t>
        </is>
      </c>
      <c r="D9" s="40" t="inlineStr">
        <is>
          <t>Bioética, derecho sanitario o protección de datos en salud</t>
        </is>
      </c>
      <c r="E9" s="41" t="inlineStr">
        <is>
          <t>Dra. Omidres Pérez de Carvelli</t>
        </is>
      </c>
      <c r="F9" s="41" t="inlineStr">
        <is>
          <t>info@draomidresperez.com</t>
        </is>
      </c>
      <c r="G9" s="41" t="inlineStr">
        <is>
          <t>CUBIERTA — la asume la Dra. Omidres (23/09/2026)</t>
        </is>
      </c>
    </row>
    <row r="10" ht="32" customHeight="1">
      <c r="A10" s="50" t="n">
        <v>3</v>
      </c>
      <c r="B10" s="39" t="inlineStr">
        <is>
          <t>M3 · C4</t>
        </is>
      </c>
      <c r="C10" s="40" t="inlineStr">
        <is>
          <t>Cirugía bariátrica</t>
        </is>
      </c>
      <c r="D10" s="40" t="inlineStr">
        <is>
          <t>Cirujano bariátrico y metabólico acreditado</t>
        </is>
      </c>
      <c r="E10" s="41" t="inlineStr">
        <is>
          <t>Dr. Cristian Castillo</t>
        </is>
      </c>
      <c r="F10" s="41" t="n"/>
      <c r="G10" s="41" t="inlineStr">
        <is>
          <t>CUBIERTA — aceptó el 24/09/2026 (el Dr. Verdugo no respondió)</t>
        </is>
      </c>
    </row>
    <row r="11" ht="32" customHeight="1">
      <c r="A11" s="50" t="n">
        <v>1</v>
      </c>
      <c r="B11" s="39" t="inlineStr">
        <is>
          <t>M1 · C4</t>
        </is>
      </c>
      <c r="C11" s="40" t="inlineStr">
        <is>
          <t>Composición corporal y sarcopenia</t>
        </is>
      </c>
      <c r="D11" s="40" t="inlineStr">
        <is>
          <t>Endocrinología o nutrición con experiencia en sarcopenia y bioimpedancia</t>
        </is>
      </c>
      <c r="E11" s="41" t="inlineStr">
        <is>
          <t>Dra. Adriana González — tesorera de ALAD, Ecuador</t>
        </is>
      </c>
      <c r="F11" s="41" t="inlineStr">
        <is>
          <t>+593 99 602 1221</t>
        </is>
      </c>
      <c r="G11" s="41" t="inlineStr">
        <is>
          <t>CUBIERTA — aceptó el 29/09/2026</t>
        </is>
      </c>
    </row>
    <row r="12" ht="32" customHeight="1">
      <c r="A12" s="50" t="n">
        <v>3</v>
      </c>
      <c r="B12" s="39" t="inlineStr">
        <is>
          <t>M2 · C4</t>
        </is>
      </c>
      <c r="C12" s="40" t="inlineStr">
        <is>
          <t>Actividad física en obesidad</t>
        </is>
      </c>
      <c r="D12" s="40" t="inlineStr">
        <is>
          <t>Medicina del deporte, fisiatría o fisioterapia</t>
        </is>
      </c>
      <c r="E12" s="41" t="inlineStr">
        <is>
          <t>Dra. Julia Castro</t>
        </is>
      </c>
      <c r="F12" s="41" t="n"/>
      <c r="G12" s="41" t="inlineStr">
        <is>
          <t>CUBIERTA — aceptó el 24/09/2026 (el Dr. Dommar declinó)</t>
        </is>
      </c>
    </row>
    <row r="13" ht="32" customHeight="1">
      <c r="A13" s="56" t="inlineStr">
        <is>
          <t>2</t>
        </is>
      </c>
      <c r="B13" s="57" t="inlineStr">
        <is>
          <t>M6 · C3</t>
        </is>
      </c>
      <c r="C13" s="58" t="inlineStr">
        <is>
          <t>Síndrome cardiorrenometabólico</t>
        </is>
      </c>
      <c r="D13" s="58" t="inlineStr">
        <is>
          <t>Endocrinología o cardiología — el Dr. Harold declinó el 19/09/2026</t>
        </is>
      </c>
      <c r="E13" s="59" t="inlineStr">
        <is>
          <t>Dr. Chih Hao Chen Ku</t>
        </is>
      </c>
      <c r="F13" s="59" t="inlineStr">
        <is>
          <t>chenku2409@gmail.com · +506 8392 7083</t>
        </is>
      </c>
      <c r="G13" s="59" t="inlineStr">
        <is>
          <t>CUBIERTA — aceptó el 22/09/2026</t>
        </is>
      </c>
    </row>
    <row r="14">
      <c r="C14" s="51" t="inlineStr">
        <is>
          <t>Prioridad 1 = módulo completo descubierto · Prioridad 2 = módulo de salud digital · Prioridad 3 = clases sueltas</t>
        </is>
      </c>
    </row>
    <row r="15">
      <c r="A15" s="50" t="n">
        <v>1</v>
      </c>
      <c r="B15" s="39" t="inlineStr">
        <is>
          <t>M4 · C1</t>
        </is>
      </c>
      <c r="C15" s="40" t="inlineStr">
        <is>
          <t>Fisiopatología y clasificación de la diabetes</t>
        </is>
      </c>
      <c r="D15" s="40" t="inlineStr">
        <is>
          <t>Endocrinología o medicina interna</t>
        </is>
      </c>
      <c r="E15" s="41" t="inlineStr">
        <is>
          <t>Dra. María Paz Castillo Cabrera</t>
        </is>
      </c>
      <c r="F15" s="41" t="inlineStr">
        <is>
          <t>+52 1 56 2489 0698</t>
        </is>
      </c>
      <c r="G15" s="41" t="inlineStr">
        <is>
          <t>CUBIERTA — asignada el 29/09/2026 (el Dr. Valverde no respondió)</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2026-09-03T12:21:31Z</dcterms:created>
  <dcterms:modified xmlns:dcterms="http://purl.org/dc/terms/" xmlns:xsi="http://www.w3.org/2001/XMLSchema-instance" xsi:type="dcterms:W3CDTF">2026-09-29T11:13:14Z</dcterms:modified>
</cp:coreProperties>
</file>