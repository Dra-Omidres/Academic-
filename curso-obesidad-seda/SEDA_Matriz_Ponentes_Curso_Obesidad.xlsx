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z 28 clases" sheetId="2" state="visible" r:id="rId2"/>
    <sheet xmlns:r="http://schemas.openxmlformats.org/officeDocument/2006/relationships" name="Ponentes - datos aval" sheetId="3" state="visible" r:id="rId3"/>
    <sheet xmlns:r="http://schemas.openxmlformats.org/officeDocument/2006/relationships" name="Vacantes por cubr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Arial"/>
      <b val="1"/>
      <color rgb="000D5A62"/>
      <sz val="13"/>
    </font>
    <font>
      <name val="Arial"/>
      <b val="1"/>
      <color rgb="00094247"/>
      <sz val="11"/>
    </font>
    <font>
      <name val="Arial"/>
      <i val="1"/>
      <color rgb="006B6B6B"/>
      <sz val="10"/>
    </font>
    <font>
      <name val="Arial"/>
      <color rgb="006B6B6B"/>
      <sz val="9"/>
    </font>
    <font>
      <name val="Arial"/>
      <b val="1"/>
      <color rgb="00FFFFFF"/>
      <sz val="11"/>
    </font>
    <font>
      <name val="Arial"/>
      <b val="1"/>
      <color rgb="00094247"/>
      <sz val="10"/>
    </font>
    <font>
      <name val="Arial"/>
      <sz val="10"/>
    </font>
    <font>
      <name val="Arial"/>
      <b val="1"/>
      <sz val="10"/>
    </font>
    <font>
      <name val="Arial"/>
      <b val="1"/>
      <color rgb="000D5A62"/>
      <sz val="11"/>
    </font>
    <font>
      <name val="Arial"/>
      <b val="1"/>
      <color rgb="009C0006"/>
      <sz val="10"/>
    </font>
    <font>
      <name val="Arial"/>
      <i val="1"/>
      <color rgb="009C0006"/>
      <sz val="9"/>
    </font>
    <font>
      <name val="Arial"/>
      <b val="1"/>
      <color rgb="000D5A62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D5A62"/>
      <sz val="9"/>
    </font>
    <font>
      <name val="Arial"/>
      <sz val="9"/>
    </font>
    <font>
      <name val="Arial"/>
      <b val="1"/>
      <color rgb="000D5A62"/>
      <sz val="10"/>
    </font>
    <font>
      <name val="Arial"/>
      <i val="1"/>
      <sz val="10"/>
    </font>
    <font>
      <name val="Arial"/>
      <b val="1"/>
      <i val="1"/>
      <sz val="10"/>
    </font>
    <font>
      <name val="Arial"/>
      <i val="1"/>
      <color rgb="00808080"/>
      <sz val="8"/>
    </font>
    <font>
      <name val="Arial"/>
      <b val="1"/>
      <i val="1"/>
      <color rgb="00808080"/>
      <sz val="8"/>
    </font>
    <font>
      <name val="Arial"/>
      <i val="1"/>
      <color rgb="009C0006"/>
      <sz val="8"/>
    </font>
    <font>
      <name val="Arial"/>
      <i val="1"/>
      <color rgb="006B6B6B"/>
      <sz val="9"/>
    </font>
    <font>
      <name val="Arial"/>
      <i val="1"/>
      <color rgb="006B6B6B"/>
      <sz val="8"/>
    </font>
    <font>
      <name val="Arial"/>
      <b val="1"/>
      <color rgb="009C0006"/>
      <sz val="8"/>
    </font>
    <font>
      <name val="Arial"/>
      <sz val="8"/>
    </font>
  </fonts>
  <fills count="9">
    <fill>
      <patternFill/>
    </fill>
    <fill>
      <patternFill patternType="gray125"/>
    </fill>
    <fill>
      <patternFill patternType="solid">
        <fgColor rgb="0009424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  <xf numFmtId="0" fontId="9" fillId="7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 wrapText="1"/>
    </xf>
    <xf numFmtId="0" fontId="14" fillId="6" borderId="1" applyAlignment="1" pivotButton="0" quotePrefix="0" xfId="0">
      <alignment horizontal="center" vertical="top" wrapText="1"/>
    </xf>
    <xf numFmtId="0" fontId="1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164" fontId="19" fillId="0" borderId="0" pivotButton="0" quotePrefix="0" xfId="0"/>
    <xf numFmtId="0" fontId="11" fillId="0" borderId="0" pivotButton="0" quotePrefix="0" xfId="0"/>
    <xf numFmtId="0" fontId="16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20" fillId="0" borderId="0" applyAlignment="1" pivotButton="0" quotePrefix="0" xfId="0">
      <alignment vertical="center" wrapText="1"/>
    </xf>
    <xf numFmtId="0" fontId="22" fillId="0" borderId="0" pivotButton="0" quotePrefix="0" xfId="0"/>
    <xf numFmtId="0" fontId="23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14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left" vertical="center" wrapText="1"/>
    </xf>
    <xf numFmtId="0" fontId="16" fillId="8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 wrapText="1"/>
    </xf>
    <xf numFmtId="0" fontId="26" fillId="6" borderId="1" applyAlignment="1" pivotButton="0" quotePrefix="0" xfId="0">
      <alignment vertical="center" wrapText="1"/>
    </xf>
    <xf numFmtId="0" fontId="16" fillId="8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62" customWidth="1" min="3" max="3"/>
    <col width="16" customWidth="1" min="4" max="4"/>
  </cols>
  <sheetData>
    <row r="2">
      <c r="B2" s="1" t="inlineStr">
        <is>
          <t>SOCIEDAD DE ENDOCRINOLOGÍA Y DIABETES DEL AUSTRO · SEDA</t>
        </is>
      </c>
    </row>
    <row r="3">
      <c r="B3" s="2" t="inlineStr">
        <is>
          <t>Curso virtual de actualización en obesidad, diabetes, nutrición clínica y salud digital</t>
        </is>
      </c>
    </row>
    <row r="4">
      <c r="B4" s="3" t="inlineStr">
        <is>
          <t>Matriz de control de ponentes y datos para la solicitud de aval académico · Universidad de Cuenca</t>
        </is>
      </c>
    </row>
    <row r="5">
      <c r="B5" s="4" t="inlineStr">
        <is>
          <t>Elaborado: 3 de septiembre de 2026 · Fuente: PDF 'Solicitud de aval académico' (13 pág.) remitido por Dra. Lizbet Ruilova</t>
        </is>
      </c>
    </row>
    <row r="7">
      <c r="B7" s="5" t="inlineStr">
        <is>
          <t>CÓMO USAR ESTE ARCHIVO</t>
        </is>
      </c>
      <c r="C7" s="6" t="n"/>
      <c r="D7" s="6" t="n"/>
    </row>
    <row r="8" ht="32" customHeight="1">
      <c r="B8" s="7" t="inlineStr">
        <is>
          <t>Hoja «Matriz 28 clases»</t>
        </is>
      </c>
      <c r="C8" s="8" t="inlineStr">
        <is>
          <t>Inventario completo del programa: 7 módulos × 4 clases. Muestra qué clase tiene ponente y cuál no. NO se edita salvo que cambie el programa.</t>
        </is>
      </c>
    </row>
    <row r="9" ht="32" customHeight="1">
      <c r="B9" s="7" t="inlineStr">
        <is>
          <t>Hoja «Ponentes – datos aval»</t>
        </is>
      </c>
      <c r="C9" s="8" t="inlineStr">
        <is>
          <t>AQUÍ SE TRABAJA. Una fila por persona. Las celdas en AMARILLO son las que hay que completar y las que se piden por WhatsApp.</t>
        </is>
      </c>
    </row>
    <row r="10" ht="32" customHeight="1">
      <c r="B10" s="7" t="inlineStr">
        <is>
          <t>Hoja «Vacantes por cubrir»</t>
        </is>
      </c>
      <c r="C10" s="8" t="inlineStr">
        <is>
          <t>Las 9 clases sin ponente, con el perfil profesional sugerido para cada una y espacio para anotar candidatos.</t>
        </is>
      </c>
    </row>
    <row r="12">
      <c r="B12" s="5" t="inlineStr">
        <is>
          <t>LEYENDA DE ESTADOS</t>
        </is>
      </c>
      <c r="C12" s="6" t="n"/>
      <c r="D12" s="6" t="n"/>
    </row>
    <row r="13" ht="28" customHeight="1">
      <c r="B13" s="9" t="inlineStr">
        <is>
          <t>CONFIRMADO</t>
        </is>
      </c>
      <c r="C13" s="10" t="inlineStr">
        <is>
          <t>Marcado en ROJO en el PDF original = ya aceptó dictar la charla (según indicación de Dra. Lizbet Ruilova).</t>
        </is>
      </c>
    </row>
    <row r="14" ht="28" customHeight="1">
      <c r="B14" s="11" t="inlineStr">
        <is>
          <t>POR CONFIRMAR</t>
        </is>
      </c>
      <c r="C14" s="10" t="inlineStr">
        <is>
          <t>Nombre asignado en el programa pero SIN marca roja. Hay que pedirle aceptación formal por escrito.</t>
        </is>
      </c>
    </row>
    <row r="15" ht="28" customHeight="1">
      <c r="B15" s="12" t="inlineStr">
        <is>
          <t>VACANTE</t>
        </is>
      </c>
      <c r="C15" s="10" t="inlineStr">
        <is>
          <t>La clase existe en el programa pero no tiene ningún ponente asignado. Hay que buscar y invitar.</t>
        </is>
      </c>
    </row>
    <row r="16" ht="28" customHeight="1">
      <c r="B16" s="13" t="inlineStr">
        <is>
          <t>DATO INCOMPLETO</t>
        </is>
      </c>
      <c r="C16" s="10" t="inlineStr">
        <is>
          <t>Falta información indispensable para el aval (apellido, correo, cédula, hoja de vida).</t>
        </is>
      </c>
    </row>
    <row r="18">
      <c r="B18" s="5" t="inlineStr">
        <is>
          <t>RESUMEN AUTOMÁTICO (se actualiza solo)</t>
        </is>
      </c>
      <c r="C18" s="6" t="n"/>
      <c r="D18" s="14" t="inlineStr">
        <is>
          <t>Total</t>
        </is>
      </c>
    </row>
    <row r="19">
      <c r="B19" s="15" t="inlineStr">
        <is>
          <t>Clases del programa (7 módulos × 4)</t>
        </is>
      </c>
      <c r="C19" s="16" t="n"/>
      <c r="D19" s="17">
        <f>COUNTA('Matriz 28 clases'!C3:C30)</f>
        <v/>
      </c>
    </row>
    <row r="20">
      <c r="B20" s="15" t="inlineStr">
        <is>
          <t>Clases con ponente CONFIRMADO</t>
        </is>
      </c>
      <c r="C20" s="16" t="n"/>
      <c r="D20" s="17">
        <f>COUNTIF('Matriz 28 clases'!F3:F30,"CONFIRMADO")</f>
        <v/>
      </c>
    </row>
    <row r="21">
      <c r="B21" s="15" t="inlineStr">
        <is>
          <t>Clases con ponente POR CONFIRMAR</t>
        </is>
      </c>
      <c r="C21" s="16" t="n"/>
      <c r="D21" s="17">
        <f>COUNTIF('Matriz 28 clases'!F3:F30,"POR CONFIRMAR")</f>
        <v/>
      </c>
    </row>
    <row r="22">
      <c r="B22" s="15" t="inlineStr">
        <is>
          <t>Clases VACANTES (sin ponente)</t>
        </is>
      </c>
      <c r="C22" s="16" t="n"/>
      <c r="D22" s="17">
        <f>COUNTIF('Matriz 28 clases'!F3:F30,"VACANTE")</f>
        <v/>
      </c>
    </row>
    <row r="23">
      <c r="B23" s="15" t="inlineStr">
        <is>
          <t>Docentes distintos ya identificados</t>
        </is>
      </c>
      <c r="C23" s="16" t="n"/>
      <c r="D23" s="17">
        <f>COUNTA('Ponentes - datos aval'!B4:B26)</f>
        <v/>
      </c>
    </row>
    <row r="24">
      <c r="B24" s="15" t="inlineStr">
        <is>
          <t>Hojas de vida recibidas</t>
        </is>
      </c>
      <c r="C24" s="16" t="n"/>
      <c r="D24" s="17">
        <f>COUNTIF('Ponentes - datos aval'!J4:J26,"SÍ")</f>
        <v/>
      </c>
    </row>
    <row r="25">
      <c r="B25" s="15" t="inlineStr">
        <is>
          <t>Números de WhatsApp registrados</t>
        </is>
      </c>
      <c r="C25" s="16" t="n"/>
      <c r="D25" s="17">
        <f>COUNTA('Ponentes - datos aval'!F4:F26)</f>
        <v/>
      </c>
    </row>
    <row r="26">
      <c r="B26" s="15" t="inlineStr">
        <is>
          <t>Declaraciones de conflicto de interés firmadas</t>
        </is>
      </c>
      <c r="C26" s="16" t="n"/>
      <c r="D26" s="17">
        <f>COUNTIF('Ponentes - datos aval'!L4:L26,"SÍ")</f>
        <v/>
      </c>
    </row>
    <row r="28" ht="40" customHeight="1">
      <c r="B28" s="18" t="inlineStr">
        <is>
          <t>ADVERTENCIA</t>
        </is>
      </c>
      <c r="C28" s="19" t="inlineStr">
        <is>
          <t>Los datos de contacto (correo, WhatsApp, cédula) NO están en el PDF original. Deben ser proporcionados por SEDA. Este archivo no inventa ningún dato: las celdas vacías están vacías porque el dato no existe todavía.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42" customWidth="1" min="3" max="3"/>
    <col width="52" customWidth="1" min="4" max="4"/>
    <col width="30" customWidth="1" min="5" max="5"/>
    <col width="17" customWidth="1" min="6" max="6"/>
    <col width="7" customWidth="1" min="7" max="7"/>
    <col width="46" customWidth="1" min="8" max="8"/>
  </cols>
  <sheetData>
    <row r="1">
      <c r="A1" s="20" t="inlineStr">
        <is>
          <t>MATRIZ DE LAS 28 CLASES DEL PROGRAMA · Estado de asignación de ponentes</t>
        </is>
      </c>
    </row>
    <row r="2" ht="34" customHeight="1">
      <c r="A2" s="21" t="inlineStr">
        <is>
          <t>Módulo</t>
        </is>
      </c>
      <c r="B2" s="21" t="inlineStr">
        <is>
          <t>Clase</t>
        </is>
      </c>
      <c r="C2" s="21" t="inlineStr">
        <is>
          <t>Tema de la clase</t>
        </is>
      </c>
      <c r="D2" s="21" t="inlineStr">
        <is>
          <t>Contenidos declarados en el programa</t>
        </is>
      </c>
      <c r="E2" s="21" t="inlineStr">
        <is>
          <t>Ponente asignado en el PDF</t>
        </is>
      </c>
      <c r="F2" s="21" t="inlineStr">
        <is>
          <t>Estado</t>
        </is>
      </c>
      <c r="G2" s="21" t="inlineStr">
        <is>
          <t>Min.</t>
        </is>
      </c>
      <c r="H2" s="21" t="inlineStr">
        <is>
          <t>Qué falta / observación</t>
        </is>
      </c>
    </row>
    <row r="3" ht="40" customHeight="1">
      <c r="A3" s="22" t="inlineStr">
        <is>
          <t>M1. Fundamentos de obesidad y evaluación clínica</t>
        </is>
      </c>
      <c r="B3" s="23" t="inlineStr">
        <is>
          <t>C1</t>
        </is>
      </c>
      <c r="C3" s="24" t="inlineStr">
        <is>
          <t>Epidemiología y nuevos conceptos de obesidad</t>
        </is>
      </c>
      <c r="D3" s="24" t="inlineStr">
        <is>
          <t>Situación mundial y regional; impacto sanitario y económico; cambio de paradigma diagnóstico</t>
        </is>
      </c>
      <c r="E3" s="24" t="inlineStr">
        <is>
          <t>Dra. Lizbet Ruilova</t>
        </is>
      </c>
      <c r="F3" s="27" t="inlineStr">
        <is>
          <t>CONFIRMADO</t>
        </is>
      </c>
      <c r="G3" s="23" t="n">
        <v>30</v>
      </c>
      <c r="H3" s="24" t="inlineStr">
        <is>
          <t>Confirmado el 29/09/2026. Coordinadora académica. Confirmar por escrito + hoja de vida + declaración COI.</t>
        </is>
      </c>
    </row>
    <row r="4" ht="40" customHeight="1">
      <c r="A4" s="26" t="inlineStr"/>
      <c r="B4" s="23" t="inlineStr">
        <is>
          <t>C2</t>
        </is>
      </c>
      <c r="C4" s="24" t="inlineStr">
        <is>
          <t>Fisiopatología moderna de la obesidad</t>
        </is>
      </c>
      <c r="D4" s="24" t="inlineStr">
        <is>
          <t>Adiposopatía y lipotoxicidad; inflamación crónica de bajo grado; cronobiología</t>
        </is>
      </c>
      <c r="E4" s="24" t="inlineStr">
        <is>
          <t>Dr. Pablo Vanegas</t>
        </is>
      </c>
      <c r="F4" s="27" t="inlineStr">
        <is>
          <t>CONFIRMADO</t>
        </is>
      </c>
      <c r="G4" s="23" t="n">
        <v>30</v>
      </c>
      <c r="H4" s="24" t="inlineStr">
        <is>
          <t>Confirmado el 29/09/2026. Coordinador académico. Confirmar por escrito + hoja de vida + declaración COI.</t>
        </is>
      </c>
    </row>
    <row r="5" ht="40" customHeight="1">
      <c r="A5" s="26" t="inlineStr"/>
      <c r="B5" s="23" t="inlineStr">
        <is>
          <t>C3</t>
        </is>
      </c>
      <c r="C5" s="24" t="inlineStr">
        <is>
          <t>Evaluación integral del paciente con obesidad</t>
        </is>
      </c>
      <c r="D5" s="24" t="inlineStr">
        <is>
          <t>Clasificación clínica; fenotipos metabólicos; estratificación de riesgo</t>
        </is>
      </c>
      <c r="E5" s="24" t="inlineStr">
        <is>
          <t>Dra. María Augusta Astudillo</t>
        </is>
      </c>
      <c r="F5" s="27" t="inlineStr">
        <is>
          <t>CONFIRMADO</t>
        </is>
      </c>
      <c r="G5" s="23" t="n">
        <v>30</v>
      </c>
      <c r="H5" s="24" t="inlineStr">
        <is>
          <t>Confirmado el 29/09/2026. Pedir aceptación formal, datos de contacto y hoja de vida.</t>
        </is>
      </c>
    </row>
    <row r="6" ht="40" customHeight="1">
      <c r="A6" s="26" t="inlineStr"/>
      <c r="B6" s="23" t="inlineStr">
        <is>
          <t>C4</t>
        </is>
      </c>
      <c r="C6" s="24" t="inlineStr">
        <is>
          <t>Composición corporal y sarcopenia</t>
        </is>
      </c>
      <c r="D6" s="24" t="inlineStr">
        <is>
          <t>IMC y sus limitaciones; circunferencia abdominal; bioimpedancia; obesidad sarcopénica</t>
        </is>
      </c>
      <c r="E6" s="24" t="inlineStr">
        <is>
          <t>Dra. Adriana González</t>
        </is>
      </c>
      <c r="F6" s="27" t="inlineStr">
        <is>
          <t>CONFIRMADO</t>
        </is>
      </c>
      <c r="G6" s="23" t="n">
        <v>30</v>
      </c>
      <c r="H6" s="24" t="inlineStr">
        <is>
          <t>Aceptó el 29/09/2026. Tesorera de ALAD, Ecuador. La propuso la Dra. Adriana Álvarez: ya tenía preparada una charla de sarcopenia dictada en Curitiba. ENTREGA MÁS PRÓXIMA DEL CURSO, junto con el resto del módulo 1 y el 2. Falta toda la documentación.</t>
        </is>
      </c>
    </row>
    <row r="7" ht="40" customHeight="1">
      <c r="A7" s="22" t="inlineStr">
        <is>
          <t>M2. Nutrición en el manejo de la obesidad</t>
        </is>
      </c>
      <c r="B7" s="23" t="inlineStr">
        <is>
          <t>C1</t>
        </is>
      </c>
      <c r="C7" s="24" t="inlineStr">
        <is>
          <t>Principios de terapia nutricional</t>
        </is>
      </c>
      <c r="D7" s="24" t="inlineStr">
        <is>
          <t>Balance energético; calidad nutricional; individualización del tratamiento</t>
        </is>
      </c>
      <c r="E7" s="24" t="inlineStr">
        <is>
          <t>Lcda. Isabel Reinoso</t>
        </is>
      </c>
      <c r="F7" s="27" t="inlineStr">
        <is>
          <t>CONFIRMADO</t>
        </is>
      </c>
      <c r="G7" s="23" t="n">
        <v>30</v>
      </c>
      <c r="H7" s="24" t="inlineStr">
        <is>
          <t>Solo faltan datos de contacto, hoja de vida y declaración COI.</t>
        </is>
      </c>
    </row>
    <row r="8" ht="40" customHeight="1">
      <c r="A8" s="26" t="inlineStr"/>
      <c r="B8" s="23" t="inlineStr">
        <is>
          <t>C2</t>
        </is>
      </c>
      <c r="C8" s="24" t="inlineStr">
        <is>
          <t>Patrones alimentarios basados en evidencia</t>
        </is>
      </c>
      <c r="D8" s="24" t="inlineStr">
        <is>
          <t>Dieta mediterránea; dieta DASH; dietas bajas en carbohidratos; ayuno intermitente</t>
        </is>
      </c>
      <c r="E8" s="24" t="inlineStr">
        <is>
          <t>Dra. Johanna Piedra Bravo</t>
        </is>
      </c>
      <c r="F8" s="27" t="inlineStr">
        <is>
          <t>CONFIRMADO</t>
        </is>
      </c>
      <c r="G8" s="23" t="n">
        <v>30</v>
      </c>
      <c r="H8" s="24" t="inlineStr">
        <is>
          <t>Solo faltan datos de contacto, hoja de vida y declaración COI.</t>
        </is>
      </c>
    </row>
    <row r="9" ht="40" customHeight="1">
      <c r="A9" s="26" t="inlineStr"/>
      <c r="B9" s="23" t="inlineStr">
        <is>
          <t>C3</t>
        </is>
      </c>
      <c r="C9" s="24" t="inlineStr">
        <is>
          <t>Nutrición conductual</t>
        </is>
      </c>
      <c r="D9" s="24" t="inlineStr">
        <is>
          <t>Hambre fisiológica y emocional; conducta alimentaria; adherencia terapéutica</t>
        </is>
      </c>
      <c r="E9" s="64" t="inlineStr">
        <is>
          <t>Dra. Janeth Bermeo</t>
        </is>
      </c>
      <c r="F9" s="27" t="inlineStr">
        <is>
          <t>CONFIRMADO</t>
        </is>
      </c>
      <c r="G9" s="23" t="n">
        <v>30</v>
      </c>
      <c r="H9" s="24" t="inlineStr">
        <is>
          <t>Aceptó el 22/09/2026. Endocrinóloga del Hospital del Río. Pendiente: hoja de vida, cédula, foto y declaración COI.</t>
        </is>
      </c>
    </row>
    <row r="10" ht="40" customHeight="1">
      <c r="A10" s="26" t="inlineStr"/>
      <c r="B10" s="23" t="inlineStr">
        <is>
          <t>C4</t>
        </is>
      </c>
      <c r="C10" s="24" t="inlineStr">
        <is>
          <t>Actividad física en obesidad</t>
        </is>
      </c>
      <c r="D10" s="24" t="inlineStr">
        <is>
          <t>Ejercicio aeróbico; entrenamiento de fuerza; prescripción de ejercicio</t>
        </is>
      </c>
      <c r="E10" s="64" t="inlineStr">
        <is>
          <t>Dra. Julia Castro</t>
        </is>
      </c>
      <c r="F10" s="27" t="inlineStr">
        <is>
          <t>CONFIRMADO</t>
        </is>
      </c>
      <c r="G10" s="23" t="n">
        <v>30</v>
      </c>
      <c r="H10" s="24" t="inlineStr">
        <is>
          <t>Aceptó el 24/09/2026. El Dr. César Dommar, invitado el 23/09, declinó. Faltan especialidad, datos de contacto y toda la documentación del aval. Entrega de la grabación: 29 de octubre, la fecha más apretada del curso.</t>
        </is>
      </c>
    </row>
    <row r="11" ht="40" customHeight="1">
      <c r="A11" s="22" t="inlineStr">
        <is>
          <t>M3. Tratamiento farmacológico y cirugía de la obesidad</t>
        </is>
      </c>
      <c r="B11" s="23" t="inlineStr">
        <is>
          <t>C1</t>
        </is>
      </c>
      <c r="C11" s="24" t="inlineStr">
        <is>
          <t>Farmacoterapia para obesidad</t>
        </is>
      </c>
      <c r="D11" s="24" t="inlineStr">
        <is>
          <t>Indicaciones generales; orlistat; fentermina; fentermina/topiramato; bupropión/naltrexona</t>
        </is>
      </c>
      <c r="E11" s="24" t="inlineStr">
        <is>
          <t>Dr. Pablo Vanegas</t>
        </is>
      </c>
      <c r="F11" s="27" t="inlineStr">
        <is>
          <t>CONFIRMADO</t>
        </is>
      </c>
      <c r="G11" s="23" t="n">
        <v>30</v>
      </c>
      <c r="H11" s="24" t="inlineStr">
        <is>
          <t>Confirmado el 29/09/2026. Segunda charla del mismo docente. Confirmar carga y disponibilidad.</t>
        </is>
      </c>
    </row>
    <row r="12" ht="40" customHeight="1">
      <c r="A12" s="26" t="inlineStr"/>
      <c r="B12" s="23" t="inlineStr">
        <is>
          <t>C2</t>
        </is>
      </c>
      <c r="C12" s="24" t="inlineStr">
        <is>
          <t>Agonistas del receptor de GLP-1</t>
        </is>
      </c>
      <c r="D12" s="24" t="inlineStr">
        <is>
          <t>Semaglutida; evidencia clínica</t>
        </is>
      </c>
      <c r="E12" s="24" t="inlineStr">
        <is>
          <t>Dr. Frank Espinoza</t>
        </is>
      </c>
      <c r="F12" s="27" t="inlineStr">
        <is>
          <t>CONFIRMADO</t>
        </is>
      </c>
      <c r="G12" s="23" t="n">
        <v>30</v>
      </c>
      <c r="H12" s="24" t="inlineStr">
        <is>
          <t>Solo faltan datos de contacto, hoja de vida y declaración COI.</t>
        </is>
      </c>
    </row>
    <row r="13" ht="40" customHeight="1">
      <c r="A13" s="26" t="inlineStr"/>
      <c r="B13" s="23" t="inlineStr">
        <is>
          <t>C3</t>
        </is>
      </c>
      <c r="C13" s="24" t="inlineStr">
        <is>
          <t>Tirzepatida y nuevas terapias</t>
        </is>
      </c>
      <c r="D13" s="24" t="inlineStr">
        <is>
          <t>Mecanismos de acción; evidencia clínica; seguridad</t>
        </is>
      </c>
      <c r="E13" s="24" t="inlineStr">
        <is>
          <t>Dra. Teresa Cuatecontzi</t>
        </is>
      </c>
      <c r="F13" s="27" t="inlineStr">
        <is>
          <t>CONFIRMADO</t>
        </is>
      </c>
      <c r="G13" s="23" t="n">
        <v>30</v>
      </c>
      <c r="H13" s="24" t="inlineStr">
        <is>
          <t>Confirmar país de origen para el trámite del aval. Faltan contacto, hoja de vida y COI.</t>
        </is>
      </c>
    </row>
    <row r="14" ht="40" customHeight="1">
      <c r="A14" s="26" t="inlineStr"/>
      <c r="B14" s="23" t="inlineStr">
        <is>
          <t>C4</t>
        </is>
      </c>
      <c r="C14" s="24" t="inlineStr">
        <is>
          <t>Cirugía bariátrica</t>
        </is>
      </c>
      <c r="D14" s="24" t="inlineStr">
        <is>
          <t>Indicaciones; técnicas quirúrgicas; seguimiento metabólico</t>
        </is>
      </c>
      <c r="E14" s="24" t="inlineStr">
        <is>
          <t>Dr. Cristian Castillo</t>
        </is>
      </c>
      <c r="F14" s="27" t="inlineStr">
        <is>
          <t>CONFIRMADO</t>
        </is>
      </c>
      <c r="G14" s="23" t="n">
        <v>30</v>
      </c>
      <c r="H14" s="24" t="inlineStr">
        <is>
          <t>Aceptó vía Dra. Lizbet Ruilova (24/09/2026). El Dr. Verdugo, invitado el 23/09, no respondió. Faltan datos de contacto y documentación del aval.</t>
        </is>
      </c>
    </row>
    <row r="15" ht="40" customHeight="1">
      <c r="A15" s="22" t="inlineStr">
        <is>
          <t>M4. Diabetes mellitus: diagnóstico y manejo actual</t>
        </is>
      </c>
      <c r="B15" s="23" t="inlineStr">
        <is>
          <t>C1</t>
        </is>
      </c>
      <c r="C15" s="24" t="inlineStr">
        <is>
          <t>Fisiopatología y clasificación de la diabetes</t>
        </is>
      </c>
      <c r="D15" s="24" t="inlineStr">
        <is>
          <t>Defectos fisiopatológicos de la DM2; clasificación actual; diagnóstico temprano</t>
        </is>
      </c>
      <c r="E15" s="24" t="inlineStr">
        <is>
          <t>Dra. María Paz Castillo Cabrera</t>
        </is>
      </c>
      <c r="F15" s="27" t="inlineStr">
        <is>
          <t>CONFIRMADO</t>
        </is>
      </c>
      <c r="G15" s="23" t="n">
        <v>30</v>
      </c>
      <c r="H15" s="24" t="inlineStr">
        <is>
          <t>Asignada el 29/09/2026 a petición de la Dra. Lizbet Ruilova. El Dr. José Luis Valverde, invitado el 28/09, no respondió. La Dra. Ruilova confirma el 29/09 que ejerce en CUENCA: ponente nacional, se le pide cédula (el +52 es un número mexicano conservado). PENDIENTE: aclarar si es la misma persona vinculada al trámite de avales de la Universidad de Cuenca. No escribirle hasta resolverlo.</t>
        </is>
      </c>
    </row>
    <row r="16" ht="40" customHeight="1">
      <c r="A16" s="26" t="inlineStr"/>
      <c r="B16" s="23" t="inlineStr">
        <is>
          <t>C2</t>
        </is>
      </c>
      <c r="C16" s="24" t="inlineStr">
        <is>
          <t>Monitoreo glucémico y metas terapéuticas</t>
        </is>
      </c>
      <c r="D16" s="24" t="inlineStr">
        <is>
          <t>HbA1c; tiempo en rango; AGP y monitoreo continuo de glucosa</t>
        </is>
      </c>
      <c r="E16" s="24" t="inlineStr">
        <is>
          <t>Dra. Josefa Palacios</t>
        </is>
      </c>
      <c r="F16" s="27" t="inlineStr">
        <is>
          <t>CONFIRMADO</t>
        </is>
      </c>
      <c r="G16" s="23" t="n">
        <v>30</v>
      </c>
      <c r="H16" s="24" t="inlineStr">
        <is>
          <t>Solo faltan datos de contacto, hoja de vida y declaración COI.</t>
        </is>
      </c>
    </row>
    <row r="17" ht="40" customHeight="1">
      <c r="A17" s="26" t="inlineStr"/>
      <c r="B17" s="23" t="inlineStr">
        <is>
          <t>C3</t>
        </is>
      </c>
      <c r="C17" s="24" t="inlineStr">
        <is>
          <t>Terapia farmacológica moderna</t>
        </is>
      </c>
      <c r="D17" s="24" t="inlineStr">
        <is>
          <t>iSGLT2 e iDPP-4; agonistas de GLP-1 y tirzepatida; individualización</t>
        </is>
      </c>
      <c r="E17" s="24" t="inlineStr">
        <is>
          <t>Dra. Gabriela Jiménez</t>
        </is>
      </c>
      <c r="F17" s="27" t="inlineStr">
        <is>
          <t>CONFIRMADO</t>
        </is>
      </c>
      <c r="G17" s="23" t="n">
        <v>30</v>
      </c>
      <c r="H17" s="24" t="inlineStr">
        <is>
          <t>Confirmado el 29/09/2026. Segunda charla del mismo docente. Confirmar carga y disponibilidad.</t>
        </is>
      </c>
    </row>
    <row r="18" ht="40" customHeight="1">
      <c r="A18" s="26" t="inlineStr"/>
      <c r="B18" s="23" t="inlineStr">
        <is>
          <t>C4</t>
        </is>
      </c>
      <c r="C18" s="24" t="inlineStr">
        <is>
          <t>Insulinoterapia avanzada</t>
        </is>
      </c>
      <c r="D18" s="24" t="inlineStr">
        <is>
          <t>Inicio e intensificación; combinación con agonistas de GLP-1; manejo de hipoglucemia</t>
        </is>
      </c>
      <c r="E18" s="24" t="inlineStr">
        <is>
          <t>Dr. Juan Molina</t>
        </is>
      </c>
      <c r="F18" s="27" t="inlineStr">
        <is>
          <t>CONFIRMADO</t>
        </is>
      </c>
      <c r="G18" s="23" t="n">
        <v>30</v>
      </c>
      <c r="H18" s="24" t="inlineStr">
        <is>
          <t>Confirmado el 29/09/2026. Pedir aceptación formal, datos de contacto y hoja de vida.</t>
        </is>
      </c>
    </row>
    <row r="19" ht="40" customHeight="1">
      <c r="A19" s="22" t="inlineStr">
        <is>
          <t>M5. Terapia nutricional en diabetes y obesidad</t>
        </is>
      </c>
      <c r="B19" s="23" t="inlineStr">
        <is>
          <t>C1</t>
        </is>
      </c>
      <c r="C19" s="24" t="inlineStr">
        <is>
          <t>Nutrición de precisión en diabetes y obesidad: innovación, equidad y desafíos para América Latina y Ecuador</t>
        </is>
      </c>
      <c r="D19" s="24" t="inlineStr">
        <is>
          <t>Fenotipos metabólicos; individualización nutricional</t>
        </is>
      </c>
      <c r="E19" s="64" t="inlineStr">
        <is>
          <t>Lcda. Gabriela Molina</t>
        </is>
      </c>
      <c r="F19" s="27" t="inlineStr">
        <is>
          <t>CONFIRMADO</t>
        </is>
      </c>
      <c r="G19" s="23" t="n">
        <v>30</v>
      </c>
      <c r="H19" s="24" t="inlineStr">
        <is>
          <t>Aceptó el 28/09/2026. La propuso la Lcda. Daniela Vintimilla, Directora de la Carrera de Nutrición de la U. Cuenca. Condicionó su participación a recibir certificado de docente, que se le confirmó. Faltan sus documentos. TÍTULO ACTUALIZADO el 09/10/2026: la docente propuso ampliarlo en su formulario y la coordinación lo aprueba añadiendo «y Ecuador». Su declaración firmada lleva el título anterior, más corto; no hace falta rehacerla, pero el programa que va al expediente lleva este.</t>
        </is>
      </c>
    </row>
    <row r="20" ht="40" customHeight="1">
      <c r="A20" s="26" t="inlineStr"/>
      <c r="B20" s="23" t="inlineStr">
        <is>
          <t>C2</t>
        </is>
      </c>
      <c r="C20" s="24" t="inlineStr">
        <is>
          <t>Estrategias nutricionales basadas en evidencia</t>
        </is>
      </c>
      <c r="D20" s="24" t="inlineStr">
        <is>
          <t>Dieta mediterránea; restricción de carbohidratos; ayuno intermitente</t>
        </is>
      </c>
      <c r="E20" s="28" t="inlineStr"/>
      <c r="F20" s="29" t="inlineStr">
        <is>
          <t>VACANTE</t>
        </is>
      </c>
      <c r="G20" s="23" t="n">
        <v>30</v>
      </c>
      <c r="H20" s="24" t="inlineStr">
        <is>
          <t>SIN PONENTE. Perfil sugerido: nutricionista clínico con experiencia en diabetes.
HISTORIAL DE GESTIÓN:
· Dra. Gaby Villavicencio — DECLINÓ. Recomendó a otras personas: la Dra. Omidres les escribió y no respondieron (al 12/10/2026).
· Carrera de Nutrición, U. Cuenca (Lcda. Daniela Vintimilla) — recibió la lista de temas el 23/09 y no tomó este.
· Lcda. María Augusta Vásquez (+593 99 994 9812) — DECLINÓ el 05/10.
Se mantiene vacante por decisión de la Dra. Omidres. NO volver a contactar a las tres anteriores para este tema.</t>
        </is>
      </c>
    </row>
    <row r="21" ht="40" customHeight="1">
      <c r="A21" s="26" t="inlineStr"/>
      <c r="B21" s="23" t="inlineStr">
        <is>
          <t>C3</t>
        </is>
      </c>
      <c r="C21" s="24" t="inlineStr">
        <is>
          <t>Nutrición durante las terapias para obesidad</t>
        </is>
      </c>
      <c r="D21" s="24" t="inlineStr">
        <is>
          <t>Agonistas de GLP-1; tirzepatida; preservación de la masa muscular</t>
        </is>
      </c>
      <c r="E21" s="64" t="inlineStr">
        <is>
          <t>Dra. Gabriela Machado</t>
        </is>
      </c>
      <c r="F21" s="27" t="inlineStr">
        <is>
          <t>CONFIRMADO</t>
        </is>
      </c>
      <c r="G21" s="23" t="n">
        <v>30</v>
      </c>
      <c r="H21" s="24" t="inlineStr">
        <is>
          <t>Aceptó el 28/09/2026, a través de la Lcda. Daniela Vintimilla, que lo consultó con su equipo. Faltan especialidad, institución y toda la documentación.</t>
        </is>
      </c>
    </row>
    <row r="22" ht="40" customHeight="1">
      <c r="A22" s="26" t="inlineStr"/>
      <c r="B22" s="23" t="inlineStr">
        <is>
          <t>C4</t>
        </is>
      </c>
      <c r="C22" s="24" t="inlineStr">
        <is>
          <t>Composición corporal y sarcopenia en pacientes con diabetes</t>
        </is>
      </c>
      <c r="D22" s="24" t="inlineStr">
        <is>
          <t>Evaluación clínica; interpretación de la bioimpedancia; estrategias nutricionales</t>
        </is>
      </c>
      <c r="E22" s="24" t="inlineStr">
        <is>
          <t>Dra. Lizbet Ruilova</t>
        </is>
      </c>
      <c r="F22" s="27" t="inlineStr">
        <is>
          <t>CONFIRMADO</t>
        </is>
      </c>
      <c r="G22" s="23" t="n">
        <v>30</v>
      </c>
      <c r="H22" s="24" t="inlineStr">
        <is>
          <t>Confirmado el 29/09/2026. Segunda charla de la coordinadora. Revisar solapamiento con M1·C4 (Dra. Jiménez).</t>
        </is>
      </c>
    </row>
    <row r="23" ht="40" customHeight="1">
      <c r="A23" s="22" t="inlineStr">
        <is>
          <t>M6. Complicaciones cardiorrenometabólicas</t>
        </is>
      </c>
      <c r="B23" s="23" t="inlineStr">
        <is>
          <t>C1</t>
        </is>
      </c>
      <c r="C23" s="24" t="inlineStr">
        <is>
          <t>Enfermedad renal asociada a obesidad y diabetes</t>
        </is>
      </c>
      <c r="D23" s="24" t="inlineStr">
        <is>
          <t>Tamizaje y diagnóstico temprano; estratificación de riesgo; estrategias terapéuticas</t>
        </is>
      </c>
      <c r="E23" s="24" t="inlineStr">
        <is>
          <t>Dra. Valeria Andrade</t>
        </is>
      </c>
      <c r="F23" s="27" t="inlineStr">
        <is>
          <t>CONFIRMADO</t>
        </is>
      </c>
      <c r="G23" s="23" t="n">
        <v>30</v>
      </c>
      <c r="H23" s="24" t="inlineStr">
        <is>
          <t>Confirmado el 29/09/2026. Pedir aceptación formal, datos de contacto y hoja de vida.</t>
        </is>
      </c>
    </row>
    <row r="24" ht="40" customHeight="1">
      <c r="A24" s="26" t="inlineStr"/>
      <c r="B24" s="23" t="inlineStr">
        <is>
          <t>C2</t>
        </is>
      </c>
      <c r="C24" s="24" t="inlineStr">
        <is>
          <t>Riesgo cardiovascular en obesidad y diabetes</t>
        </is>
      </c>
      <c r="D24" s="24" t="inlineStr">
        <is>
          <t>Estratificación del RCV; aterosclerosis; dislipidemias; riesgo residual (no-HDL, ApoB, TG)</t>
        </is>
      </c>
      <c r="E24" s="24" t="inlineStr">
        <is>
          <t>Dr. Chih Hao Chen Ku</t>
        </is>
      </c>
      <c r="F24" s="27" t="inlineStr">
        <is>
          <t>CONFIRMADO</t>
        </is>
      </c>
      <c r="G24" s="23" t="n">
        <v>30</v>
      </c>
      <c r="H24" s="24" t="inlineStr">
        <is>
          <t>Ponente internacional. Confirmar país y si requiere trámite distinto para el aval.</t>
        </is>
      </c>
    </row>
    <row r="25" ht="40" customHeight="1">
      <c r="A25" s="26" t="inlineStr"/>
      <c r="B25" s="23" t="inlineStr">
        <is>
          <t>C3</t>
        </is>
      </c>
      <c r="C25" s="24" t="inlineStr">
        <is>
          <t>Síndrome cardiorrenometabólico</t>
        </is>
      </c>
      <c r="D25" s="24" t="inlineStr">
        <is>
          <t>Conceptos actuales; insuficiencia cardíaca; beneficios CV y renales de nuevas terapias</t>
        </is>
      </c>
      <c r="E25" s="24" t="inlineStr">
        <is>
          <t>Dr. Chih Hao Chen Ku</t>
        </is>
      </c>
      <c r="F25" s="27" t="inlineStr">
        <is>
          <t>CONFIRMADO</t>
        </is>
      </c>
      <c r="G25" s="23" t="n">
        <v>30</v>
      </c>
      <c r="H25" s="24" t="inlineStr">
        <is>
          <t>Aceptó el 22/09/2026 por correo, en reemplazo del Dr. Harold (declinó 19/09/2026). Segunda clase del mismo docente. Graba él y envía enlace del video. Faltan pasaporte y fotografía.</t>
        </is>
      </c>
    </row>
    <row r="26" ht="40" customHeight="1">
      <c r="A26" s="26" t="inlineStr"/>
      <c r="B26" s="23" t="inlineStr">
        <is>
          <t>C4</t>
        </is>
      </c>
      <c r="C26" s="24" t="inlineStr">
        <is>
          <t>MASLD y complicaciones metabólicas</t>
        </is>
      </c>
      <c r="D26" s="24" t="inlineStr">
        <is>
          <t>MASLD; enfermedad osteomuscular asociada a la obesidad; estrategias integrales</t>
        </is>
      </c>
      <c r="E26" s="24" t="inlineStr">
        <is>
          <t>Dra. Adriana Álvarez</t>
        </is>
      </c>
      <c r="F26" s="27" t="inlineStr">
        <is>
          <t>CONFIRMADO</t>
        </is>
      </c>
      <c r="G26" s="23" t="n">
        <v>30</v>
      </c>
      <c r="H26" s="24" t="inlineStr">
        <is>
          <t>La Dra. Adriana Álvarez dicta MASLD. La sarcopenia sale de esta clase por decisión de la Dra. Omidres (28/09/2026): la asume la Dra. Adriana González en M1 · C4. Faltan los datos y la documentación de la Dra. Álvarez.</t>
        </is>
      </c>
    </row>
    <row r="27" ht="40" customHeight="1">
      <c r="A27" s="22" t="inlineStr">
        <is>
          <t>M7. Salud digital y telemedicina aplicada</t>
        </is>
      </c>
      <c r="B27" s="23" t="inlineStr">
        <is>
          <t>C1</t>
        </is>
      </c>
      <c r="C27" s="24" t="inlineStr">
        <is>
          <t>Fundamentos de salud digital y telemedicina en enfermedades crónicas</t>
        </is>
      </c>
      <c r="D27" s="24" t="inlineStr">
        <is>
          <t>Marco conceptual; marco normativo de telesalud en Ecuador; modelos sincrónico/asincrónico/híbrido</t>
        </is>
      </c>
      <c r="E27" s="24" t="inlineStr">
        <is>
          <t>Dra. Omidres Pérez de Carvelli</t>
        </is>
      </c>
      <c r="F27" s="27" t="inlineStr">
        <is>
          <t>CONFIRMADO</t>
        </is>
      </c>
      <c r="G27" s="23" t="n">
        <v>30</v>
      </c>
      <c r="H27" s="24" t="inlineStr">
        <is>
          <t>VERIFICADA. Corregir en el PDF: figura como «Dra Omidrez Perez» (mal escrito).</t>
        </is>
      </c>
    </row>
    <row r="28" ht="40" customHeight="1">
      <c r="A28" s="26" t="inlineStr"/>
      <c r="B28" s="23" t="inlineStr">
        <is>
          <t>C2</t>
        </is>
      </c>
      <c r="C28" s="24" t="inlineStr">
        <is>
          <t>Monitoreo digital y tecnologías en diabetes y obesidad</t>
        </is>
      </c>
      <c r="D28" s="24" t="inlineStr">
        <is>
          <t>MCG y AGP en entornos digitales; monitoreo remoto (RPM), apps y wearables; salud conectada</t>
        </is>
      </c>
      <c r="E28" s="24" t="inlineStr">
        <is>
          <t>Dra. Ana María Gómez</t>
        </is>
      </c>
      <c r="F28" s="27" t="inlineStr">
        <is>
          <t>CONFIRMADO</t>
        </is>
      </c>
      <c r="G28" s="23" t="n">
        <v>30</v>
      </c>
      <c r="H28" s="24" t="inlineStr">
        <is>
          <t>Aceptó el 29/09/2026. Endocrinóloga, Colombia, experta en monitoreo de glucosa. QUINTO PAÍS EXTRANJERO del cuerpo docente. Se le delimitó su clase frente a M4 · C2 en la propia invitación. Falta toda la documentación.</t>
        </is>
      </c>
    </row>
    <row r="29" ht="40" customHeight="1">
      <c r="A29" s="26" t="inlineStr"/>
      <c r="B29" s="23" t="inlineStr">
        <is>
          <t>C3</t>
        </is>
      </c>
      <c r="C29" s="24" t="inlineStr">
        <is>
          <t>Terapéutica digital, inteligencia artificial y educación del paciente</t>
        </is>
      </c>
      <c r="D29" s="24" t="inlineStr">
        <is>
          <t>Terapias digitales (DTx); IA en tamizaje y apoyo a la decisión; educación digital y adherencia</t>
        </is>
      </c>
      <c r="E29" s="24" t="inlineStr">
        <is>
          <t>Dr. Fabricio Salas Guerrero</t>
        </is>
      </c>
      <c r="F29" s="27" t="inlineStr">
        <is>
          <t>CONFIRMADO</t>
        </is>
      </c>
      <c r="G29" s="23" t="n">
        <v>30</v>
      </c>
      <c r="H29" s="24" t="inlineStr">
        <is>
          <t>Aceptó el 29/09/2026. Médico epidemiólogo, experto en salud digital. ALCANCE ACORDADO: panorama general de los tres puntos, no profundizar en uno. Él propuso acotar; la Dra. Omidres pidió el panorama porque para el público del curso estos temas «se ven como ciencia ficción» y hace falta la base. Pidió la plantilla y coordinar fecha. Falta toda la documentación.</t>
        </is>
      </c>
    </row>
    <row r="30" ht="40" customHeight="1">
      <c r="A30" s="26" t="inlineStr"/>
      <c r="B30" s="23" t="inlineStr">
        <is>
          <t>C4</t>
        </is>
      </c>
      <c r="C30" s="24" t="inlineStr">
        <is>
          <t>Implementación, ética y seguridad de datos</t>
        </is>
      </c>
      <c r="D30" s="24" t="inlineStr">
        <is>
          <t>Programas híbridos (teleconsulta y telenutrición); protección de datos; interoperabilidad</t>
        </is>
      </c>
      <c r="E30" s="24" t="inlineStr">
        <is>
          <t>Ing. Styp Canto Rondón</t>
        </is>
      </c>
      <c r="F30" s="27" t="inlineStr">
        <is>
          <t>CONFIRMADO</t>
        </is>
      </c>
      <c r="G30" s="23" t="n">
        <v>30</v>
      </c>
      <c r="H30" s="24" t="inlineStr">
        <is>
          <t>Asumida por la Dra. Omidres el 23/09/2026. Segunda clase de la misma docente en el módulo 7. Entrega de la grabación: 3 de diciembre.</t>
        </is>
      </c>
    </row>
    <row r="32">
      <c r="C32" s="31" t="inlineStr">
        <is>
          <t>TOTAL CLASES</t>
        </is>
      </c>
      <c r="D32" s="32">
        <f>COUNTA(C3:C30)</f>
        <v/>
      </c>
    </row>
    <row r="33">
      <c r="C33" s="33" t="inlineStr">
        <is>
          <t>Confirmadas</t>
        </is>
      </c>
      <c r="D33" s="32">
        <f>COUNTIF(F3:F30,"CONFIRMADO")</f>
        <v/>
      </c>
    </row>
    <row r="34">
      <c r="C34" s="33" t="inlineStr">
        <is>
          <t>Por confirmar</t>
        </is>
      </c>
      <c r="D34" s="32">
        <f>COUNTIF(F3:F30,"POR CONFIRMAR")</f>
        <v/>
      </c>
    </row>
    <row r="35">
      <c r="C35" s="33" t="inlineStr">
        <is>
          <t>Vacantes</t>
        </is>
      </c>
      <c r="D35" s="32">
        <f>COUNTIF(F3:F30,"VACANTE")</f>
        <v/>
      </c>
    </row>
    <row r="36">
      <c r="C36" s="33" t="inlineStr">
        <is>
          <t>Dato incompleto</t>
        </is>
      </c>
      <c r="D36" s="32">
        <f>COUNTIF(F3:F30,"DATO INCOMPLETO")</f>
        <v/>
      </c>
    </row>
    <row r="38">
      <c r="C38" s="34" t="inlineStr">
        <is>
          <t>Minutos de grabación totales</t>
        </is>
      </c>
      <c r="D38" s="35">
        <f>SUM(G3:G30)</f>
        <v/>
      </c>
    </row>
    <row r="39">
      <c r="C39" s="34" t="inlineStr">
        <is>
          <t>Equivalente en horas de video</t>
        </is>
      </c>
      <c r="D39" s="36">
        <f>D38/60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0" customWidth="1" min="4" max="4"/>
    <col width="28" customWidth="1" min="5" max="5"/>
    <col width="24" customWidth="1" min="6" max="6"/>
    <col width="18" customWidth="1" min="7" max="7"/>
    <col width="24" customWidth="1" min="8" max="8"/>
    <col width="30" customWidth="1" min="9" max="9"/>
    <col width="12" customWidth="1" min="10" max="10"/>
    <col width="9" customWidth="1" min="11" max="11"/>
    <col width="13" customWidth="1" min="12" max="12"/>
    <col width="20" customWidth="1" min="13" max="13"/>
    <col width="17" customWidth="1" min="14" max="14"/>
  </cols>
  <sheetData>
    <row r="1">
      <c r="A1" s="20" t="inlineStr">
        <is>
          <t>DATOS DE LOS PONENTES · Información requerida para la solicitud de aval académico</t>
        </is>
      </c>
    </row>
    <row r="2">
      <c r="A2" s="37" t="inlineStr">
        <is>
          <t>Las columnas en AMARILLO son las que hay que pedir a cada ponente. Ninguna se ha inventado: si está vacía, el dato no existe todavía.</t>
        </is>
      </c>
    </row>
    <row r="3" ht="46" customHeight="1">
      <c r="A3" s="21" t="inlineStr">
        <is>
          <t>N.º</t>
        </is>
      </c>
      <c r="B3" s="21" t="inlineStr">
        <is>
          <t>Nombre completo con títulos</t>
        </is>
      </c>
      <c r="C3" s="21" t="inlineStr">
        <is>
          <t>Especialidad</t>
        </is>
      </c>
      <c r="D3" s="21" t="inlineStr">
        <is>
          <t>Institución · Ciudad / País</t>
        </is>
      </c>
      <c r="E3" s="21" t="inlineStr">
        <is>
          <t>Correo electrónico</t>
        </is>
      </c>
      <c r="F3" s="21" t="inlineStr">
        <is>
          <t>WhatsApp (con código de país)</t>
        </is>
      </c>
      <c r="G3" s="21" t="inlineStr">
        <is>
          <t>Cédula o pasaporte</t>
        </is>
      </c>
      <c r="H3" s="21" t="inlineStr">
        <is>
          <t>Registro de título (SENESCYT u homólogo)</t>
        </is>
      </c>
      <c r="I3" s="21" t="inlineStr">
        <is>
          <t>Módulo(s) · Clase(s) a cargo</t>
        </is>
      </c>
      <c r="J3" s="21" t="inlineStr">
        <is>
          <t>Hoja de vida</t>
        </is>
      </c>
      <c r="K3" s="21" t="inlineStr">
        <is>
          <t>Foto</t>
        </is>
      </c>
      <c r="L3" s="21" t="inlineStr">
        <is>
          <t>Declaración COI</t>
        </is>
      </c>
      <c r="M3" s="21" t="inlineStr">
        <is>
          <t>Fecha compromiso de grabación</t>
        </is>
      </c>
      <c r="N3" s="21" t="inlineStr">
        <is>
          <t>Estado</t>
        </is>
      </c>
    </row>
    <row r="4" ht="30" customHeight="1">
      <c r="A4" s="38" t="n">
        <v>1</v>
      </c>
      <c r="B4" s="54" t="inlineStr">
        <is>
          <t>Dra. Omidres de la Consolación Pérez de Carvelli</t>
        </is>
      </c>
      <c r="C4" s="54" t="inlineStr">
        <is>
          <t>Medicina Interna · Endocrinología y Metabolismo · Diabetología · Telemedicina y salud digital</t>
        </is>
      </c>
      <c r="D4" s="54" t="inlineStr">
        <is>
          <t>Hospital Universitario del Río — Cuenca, Ecuador</t>
        </is>
      </c>
      <c r="E4" s="54" t="inlineStr">
        <is>
          <t>info@draomidresperez.com</t>
        </is>
      </c>
      <c r="F4" s="60" t="inlineStr">
        <is>
          <t>+593 98 206 2988</t>
        </is>
      </c>
      <c r="G4" s="54" t="inlineStr">
        <is>
          <t>0961279080 — leída de la cédula (EXT*PERMANENTE) y contrastada con su hoja de vida: coinciden</t>
        </is>
      </c>
      <c r="H4" s="54" t="inlineStr">
        <is>
          <t>Registro MSP Ecuador 116694452 · Investigadora acreditada SENESCYT INV-25-08756</t>
        </is>
      </c>
      <c r="I4" s="40" t="inlineStr">
        <is>
          <t>M7 · C1</t>
        </is>
      </c>
      <c r="J4" s="54" t="inlineStr">
        <is>
          <t>SÍ</t>
        </is>
      </c>
      <c r="K4" s="54" t="inlineStr">
        <is>
          <t>SÍ</t>
        </is>
      </c>
      <c r="L4" s="54" t="inlineStr">
        <is>
          <t>PRELLENADA, FALTA FIRMAR — declara vínculos: Omisalud (50 % y Presidencia), MEDDI Hub (CMO LATAM), OITT (Presidencia) y la dirección del diplomado en Salud eLearning</t>
        </is>
      </c>
      <c r="M4" s="42" t="inlineStr">
        <is>
          <t>03/12/2026</t>
        </is>
      </c>
      <c r="N4" s="43" t="inlineStr">
        <is>
          <t>CONFIRMADO</t>
        </is>
      </c>
    </row>
    <row r="5" ht="30" customHeight="1">
      <c r="A5" s="38" t="n">
        <v>2</v>
      </c>
      <c r="B5" s="54" t="inlineStr">
        <is>
          <t>Lcda. María Isabel Reinoso Pesántez</t>
        </is>
      </c>
      <c r="C5" s="54" t="inlineStr">
        <is>
          <t>Licenciada en Nutrición y Dietética</t>
        </is>
      </c>
      <c r="D5" s="54" t="inlineStr">
        <is>
          <t>Hospital del Bosque · Centro de Diálisis Nefrodial · Centro Platinum · Centro Pediatri.Co · consulta privada — Cuenca, Ecuador</t>
        </is>
      </c>
      <c r="E5" s="54" t="inlineStr">
        <is>
          <t>isareinosonutricion@gmail.com</t>
        </is>
      </c>
      <c r="F5" s="60" t="inlineStr">
        <is>
          <t>+593 98 736 8816</t>
        </is>
      </c>
      <c r="G5" s="54" t="inlineStr">
        <is>
          <t>0104473368 — copia de la cédula archivada y verificada contra el documento</t>
        </is>
      </c>
      <c r="H5" s="41" t="n"/>
      <c r="I5" s="40" t="inlineStr">
        <is>
          <t>M2 · C1</t>
        </is>
      </c>
      <c r="J5" s="54" t="inlineStr">
        <is>
          <t>SÍ</t>
        </is>
      </c>
      <c r="K5" s="54" t="inlineStr">
        <is>
          <t>SÍ</t>
        </is>
      </c>
      <c r="L5" s="54" t="inlineStr">
        <is>
          <t>SÍ</t>
        </is>
      </c>
      <c r="M5" s="54" t="inlineStr">
        <is>
          <t>Jueves 29 de octubre de 2026</t>
        </is>
      </c>
      <c r="N5" s="43" t="inlineStr">
        <is>
          <t>CONFIRMADO</t>
        </is>
      </c>
    </row>
    <row r="6" ht="30" customHeight="1">
      <c r="A6" s="38" t="n">
        <v>3</v>
      </c>
      <c r="B6" s="52" t="inlineStr">
        <is>
          <t>Dra. Johanna Piedra Bravo</t>
        </is>
      </c>
      <c r="C6" s="53" t="inlineStr">
        <is>
          <t>Nutriología y Diabetología · Magíster en Diabetes</t>
        </is>
      </c>
      <c r="D6" s="53" t="inlineStr">
        <is>
          <t>Hospital del Río y Hospital Vicente Corral Moscoso · Cuenca, Ecuador</t>
        </is>
      </c>
      <c r="E6" s="54" t="inlineStr">
        <is>
          <t>drajohannapiedra@gmail.com</t>
        </is>
      </c>
      <c r="F6" s="60" t="inlineStr">
        <is>
          <t>+593 98 765 4330</t>
        </is>
      </c>
      <c r="G6" s="54" t="inlineStr">
        <is>
          <t>YA PEDIDA por la coordinación el 09/10/2026. Había llegado una imagen de WhatsApp sin identificar que podría ser la cédula.</t>
        </is>
      </c>
      <c r="H6" s="41" t="n"/>
      <c r="I6" s="40" t="inlineStr">
        <is>
          <t>M2 · C2</t>
        </is>
      </c>
      <c r="J6" s="54" t="inlineStr">
        <is>
          <t>SÍ</t>
        </is>
      </c>
      <c r="K6" s="54" t="inlineStr">
        <is>
          <t>SÍ</t>
        </is>
      </c>
      <c r="L6" s="54" t="inlineStr">
        <is>
          <t>SÍ — recibida firmada por correo el 06/10; falta abrirla y archivarla</t>
        </is>
      </c>
      <c r="M6" s="42" t="n"/>
      <c r="N6" s="43" t="inlineStr">
        <is>
          <t>CONFIRMADO</t>
        </is>
      </c>
    </row>
    <row r="7" ht="30" customHeight="1">
      <c r="A7" s="38" t="n">
        <v>4</v>
      </c>
      <c r="B7" s="39" t="inlineStr">
        <is>
          <t>Dr. Frank Espinoza</t>
        </is>
      </c>
      <c r="C7" s="41" t="n"/>
      <c r="D7" s="41" t="inlineStr">
        <is>
          <t>Perú (institución y ciudad por confirmar)</t>
        </is>
      </c>
      <c r="E7" s="41" t="n"/>
      <c r="F7" s="41" t="inlineStr">
        <is>
          <t>+51 936 260 715</t>
        </is>
      </c>
      <c r="G7" s="41" t="n"/>
      <c r="H7" s="41" t="n"/>
      <c r="I7" s="40" t="inlineStr">
        <is>
          <t>M3 · C2</t>
        </is>
      </c>
      <c r="J7" s="42" t="n"/>
      <c r="K7" s="42" t="n"/>
      <c r="L7" s="42" t="n"/>
      <c r="M7" s="42" t="n"/>
      <c r="N7" s="43" t="inlineStr">
        <is>
          <t>CONFIRMADO</t>
        </is>
      </c>
    </row>
    <row r="8" ht="30" customHeight="1">
      <c r="A8" s="38" t="n">
        <v>5</v>
      </c>
      <c r="B8" s="39" t="inlineStr">
        <is>
          <t>Dra. E. Teresa Cuatecontzi Xochitiotzi</t>
        </is>
      </c>
      <c r="C8" s="41" t="inlineStr">
        <is>
          <t>Medicina Interna · Endocrinología · Alta especialidad en Obesidad · Maestría en Ciencias Médicas y Nutrición (INCMNSZ/UNAM)</t>
        </is>
      </c>
      <c r="D8" s="53" t="inlineStr">
        <is>
          <t>Clínica Especializada en el Manejo de la Diabetes — Ciudad de México, México</t>
        </is>
      </c>
      <c r="E8" s="41" t="inlineStr">
        <is>
          <t>xochitiotzi1@gmail.com</t>
        </is>
      </c>
      <c r="F8" s="41" t="inlineStr">
        <is>
          <t>+52 1 55 5405 6619</t>
        </is>
      </c>
      <c r="G8" s="41" t="n"/>
      <c r="H8" s="41" t="n"/>
      <c r="I8" s="40" t="inlineStr">
        <is>
          <t>M3 · C3</t>
        </is>
      </c>
      <c r="J8" s="42" t="inlineStr">
        <is>
          <t>SÍ — recibida el 11/10/2026 y archivada (CV_Cuatecontzi-Xochitiotzi_Teresa.pdf). En el encabezado dice «TERES» por «TERESA».</t>
        </is>
      </c>
      <c r="K8" s="42" t="inlineStr">
        <is>
          <t>SÍ — recibida el 11/10/2026 (441×478 px, retrato profesional), archivada como Foto_Cuatecontzi-Xochitiotzi_Teresa.jpg</t>
        </is>
      </c>
      <c r="L8" s="42" t="n"/>
      <c r="M8" s="42" t="n"/>
      <c r="N8" s="43" t="inlineStr">
        <is>
          <t>CONFIRMADO</t>
        </is>
      </c>
    </row>
    <row r="9" ht="30" customHeight="1">
      <c r="A9" s="38" t="n">
        <v>6</v>
      </c>
      <c r="B9" s="52" t="inlineStr">
        <is>
          <t>Dra. Josefa Elizabeth Palacio Riofrío</t>
        </is>
      </c>
      <c r="C9" s="53" t="inlineStr">
        <is>
          <t>Endocrinología · Diabetes y Metabolismo</t>
        </is>
      </c>
      <c r="D9" s="53" t="inlineStr">
        <is>
          <t>Omni Hospital e Interhospital · Guayaquil, Ecuador</t>
        </is>
      </c>
      <c r="E9" s="41" t="n"/>
      <c r="F9" s="53" t="inlineStr">
        <is>
          <t>+593 96 816 1654</t>
        </is>
      </c>
      <c r="G9" s="53" t="inlineStr">
        <is>
          <t>1103520233</t>
        </is>
      </c>
      <c r="H9" s="41" t="n"/>
      <c r="I9" s="40" t="inlineStr">
        <is>
          <t>M4 · C2</t>
        </is>
      </c>
      <c r="J9" s="54" t="inlineStr">
        <is>
          <t>SÍ</t>
        </is>
      </c>
      <c r="K9" s="54" t="inlineStr">
        <is>
          <t>SÍ</t>
        </is>
      </c>
      <c r="L9" s="42" t="n"/>
      <c r="M9" s="42" t="n"/>
      <c r="N9" s="43" t="inlineStr">
        <is>
          <t>CONFIRMADO</t>
        </is>
      </c>
    </row>
    <row r="10" ht="30" customHeight="1">
      <c r="A10" s="38" t="n">
        <v>7</v>
      </c>
      <c r="B10" s="52" t="inlineStr">
        <is>
          <t>Dr. Chih Hao Chen Ku, M.Sc.</t>
        </is>
      </c>
      <c r="C10" s="53" t="inlineStr">
        <is>
          <t>Endocrinología · Farmacología</t>
        </is>
      </c>
      <c r="D10" s="53" t="inlineStr">
        <is>
          <t>Clínica Los Yoses · San José, Costa Rica</t>
        </is>
      </c>
      <c r="E10" s="60" t="inlineStr">
        <is>
          <t>chenku2409@gmail.com</t>
        </is>
      </c>
      <c r="F10" s="60" t="inlineStr">
        <is>
          <t>+506 8392 7083</t>
        </is>
      </c>
      <c r="G10" s="54" t="inlineStr">
        <is>
          <t>Pasaporte de Costa Rica (copia en expediente)</t>
        </is>
      </c>
      <c r="H10" s="41" t="n"/>
      <c r="I10" s="40" t="inlineStr">
        <is>
          <t>M6 · C2  /  M6 · C3</t>
        </is>
      </c>
      <c r="J10" s="54" t="inlineStr">
        <is>
          <t>SÍ</t>
        </is>
      </c>
      <c r="K10" s="54" t="inlineStr">
        <is>
          <t>SÍ</t>
        </is>
      </c>
      <c r="L10" s="42" t="inlineStr">
        <is>
          <t>SÍ</t>
        </is>
      </c>
      <c r="M10" s="42" t="inlineStr">
        <is>
          <t>26/11/2026</t>
        </is>
      </c>
      <c r="N10" s="43" t="inlineStr">
        <is>
          <t>CONFIRMADO</t>
        </is>
      </c>
    </row>
    <row r="11" ht="30" customHeight="1">
      <c r="A11" s="38" t="n">
        <v>8</v>
      </c>
      <c r="B11" s="39" t="inlineStr">
        <is>
          <t>Dra. Adriana Mabel Álvarez</t>
        </is>
      </c>
      <c r="C11" s="41" t="inlineStr">
        <is>
          <t>Endocrinología · Comité de Esteatosis Hepática Metabólica (SAD) · Coordinadora del Grupo Obesidad-MASH de ALAD · Vocal Región Sur de ALAD</t>
        </is>
      </c>
      <c r="D11" s="41" t="inlineStr">
        <is>
          <t>Hospital Italiano de Buenos Aires · Buenos Aires, Argentina</t>
        </is>
      </c>
      <c r="E11" s="41" t="n"/>
      <c r="F11" s="41" t="inlineStr">
        <is>
          <t>+54 9 11 6708-1708</t>
        </is>
      </c>
      <c r="G11" s="41" t="inlineStr">
        <is>
          <t>Pasaporte AAI843846 (vence 28/03/2033) · DNI 14.456.727 — copia archivada el 10/10/2026; los cinco dígitos de control de la zona de lectura mecánica son correctos y coinciden con estos datos</t>
        </is>
      </c>
      <c r="H11" s="41" t="n"/>
      <c r="I11" s="40" t="inlineStr">
        <is>
          <t>M6 · C4 (MASLD y complicaciones metabólicas)</t>
        </is>
      </c>
      <c r="J11" s="42" t="inlineStr">
        <is>
          <t>SÍ — versión final cerrada por la coordinación el 10/10/2026 y APROBADA por la Dra. Álvarez, según la Dra. Omidres (10/10/2026). Archivada como CV_Alvarez_Adriana-Mabel.pdf. Incluye cinco publicaciones firmadas «Alvarez A» que ella da por suyas al aprobarla.</t>
        </is>
      </c>
      <c r="K11" s="42" t="inlineStr">
        <is>
          <t>PARCIAL — solo la del pasaporte</t>
        </is>
      </c>
      <c r="L11" s="42" t="inlineStr">
        <is>
          <t>PENDIENTE — declaró sin conflicto de palabra; falta el formato firmado</t>
        </is>
      </c>
      <c r="M11" s="42" t="inlineStr">
        <is>
          <t>26/11/2026</t>
        </is>
      </c>
      <c r="N11" s="43" t="inlineStr">
        <is>
          <t>CONFIRMADO — faltan hoja de vida, foto profesional y COI firmada</t>
        </is>
      </c>
    </row>
    <row r="12" ht="30" customHeight="1">
      <c r="A12" s="38" t="n">
        <v>9</v>
      </c>
      <c r="B12" s="52" t="inlineStr">
        <is>
          <t>Dra. Lizbet Yolanda Ruilova González</t>
        </is>
      </c>
      <c r="C12" s="53" t="inlineStr">
        <is>
          <t>Endocrinología · Medicina Interna</t>
        </is>
      </c>
      <c r="D12" s="54" t="inlineStr">
        <is>
          <t>SOLCA Cuenca · Hospital Monte Sinaí · Universidad de Cuenca</t>
        </is>
      </c>
      <c r="E12" s="54" t="inlineStr">
        <is>
          <t>lizrg@hotmail.com</t>
        </is>
      </c>
      <c r="F12" s="60" t="inlineStr">
        <is>
          <t>+593 99 907 3471</t>
        </is>
      </c>
      <c r="G12" s="41" t="n"/>
      <c r="H12" s="41" t="n"/>
      <c r="I12" s="40" t="inlineStr">
        <is>
          <t>M1 · C1  /  M5 · C4</t>
        </is>
      </c>
      <c r="J12" s="54" t="inlineStr">
        <is>
          <t>SÍ — archivada (CV_Ruilova-Gonzalez_Lizbet.pdf). La «actualizada» que reenvió el 12/10/2026 tiene el mismo contenido.</t>
        </is>
      </c>
      <c r="K12" s="54" t="inlineStr">
        <is>
          <t>SÍ</t>
        </is>
      </c>
      <c r="L12" s="54" t="inlineStr">
        <is>
          <t>EN BLANCO — el formato llegó sin llenar, sin casilla marcada y sin firma. Debe rehacerla.</t>
        </is>
      </c>
      <c r="M12" s="42" t="n"/>
      <c r="N12" s="44" t="inlineStr">
        <is>
          <t>CONFIRMADO</t>
        </is>
      </c>
    </row>
    <row r="13" ht="30" customHeight="1">
      <c r="A13" s="38" t="n">
        <v>10</v>
      </c>
      <c r="B13" s="54" t="inlineStr">
        <is>
          <t>Dr. Pablo Esteban Vanegas Cedillo</t>
        </is>
      </c>
      <c r="C13" s="54" t="inlineStr">
        <is>
          <t>Medicina Interna · Endocrinología · Obesidad y Trastornos de la Conducta Alimentaria</t>
        </is>
      </c>
      <c r="D13" s="54" t="inlineStr">
        <is>
          <t>Hospital Santa Inés — Cuenca, Ecuador</t>
        </is>
      </c>
      <c r="E13" s="54" t="inlineStr">
        <is>
          <t>pablo.vanegas90@gmail.com</t>
        </is>
      </c>
      <c r="F13" s="60" t="inlineStr">
        <is>
          <t>+593 98 765 3136</t>
        </is>
      </c>
      <c r="G13" s="54" t="inlineStr">
        <is>
          <t>0103838058 — leída de la cédula y contrastada con su declaración y su hoja de vida: coinciden</t>
        </is>
      </c>
      <c r="H13" s="41" t="n"/>
      <c r="I13" s="40" t="inlineStr">
        <is>
          <t>M1 · C2  /  M3 · C1</t>
        </is>
      </c>
      <c r="J13" s="54" t="inlineStr">
        <is>
          <t>SÍ</t>
        </is>
      </c>
      <c r="K13" s="54" t="inlineStr">
        <is>
          <t>SÍ</t>
        </is>
      </c>
      <c r="L13" s="54" t="inlineStr">
        <is>
          <t>SÍ — DECLARA CONFLICTO: honorarios de Boehringer Ingelheim. Debe mencionarlo al inicio de la grabación de M3·C1. Falta completar producto/área, periodo y la fecha de firma.</t>
        </is>
      </c>
      <c r="M13" s="42" t="n"/>
      <c r="N13" s="44" t="inlineStr">
        <is>
          <t>CONFIRMADO</t>
        </is>
      </c>
    </row>
    <row r="14" ht="30" customHeight="1">
      <c r="A14" s="38" t="n">
        <v>11</v>
      </c>
      <c r="B14" s="54" t="inlineStr">
        <is>
          <t>Dra. María Augusta Astudillo Calle</t>
        </is>
      </c>
      <c r="C14" s="54" t="inlineStr">
        <is>
          <t>Medicina Interna · Endocrinología</t>
        </is>
      </c>
      <c r="D14" s="54" t="inlineStr">
        <is>
          <t>Hospital Santa Inés · Casa de la Diabetes — Cuenca, Ecuador</t>
        </is>
      </c>
      <c r="E14" s="54" t="inlineStr">
        <is>
          <t>medimagu@yahoo.com</t>
        </is>
      </c>
      <c r="F14" s="60" t="inlineStr">
        <is>
          <t>+593 99 811 1635</t>
        </is>
      </c>
      <c r="G14" s="54" t="inlineStr">
        <is>
          <t>YA PEDIDA por la coordinación el 09/10/2026. Identidad dada por buena: la Dra. Omidres la verificó directamente con ella. El número manuscrito del formulario no es legible en el escaneo y por eso aquí no se transcribe ninguna cifra.</t>
        </is>
      </c>
      <c r="H14" s="41" t="n"/>
      <c r="I14" s="40" t="inlineStr">
        <is>
          <t>M1 · C3</t>
        </is>
      </c>
      <c r="J14" s="54" t="inlineStr">
        <is>
          <t>SÍ — el archivo sigue en el correo, falta guardarlo en el expediente</t>
        </is>
      </c>
      <c r="K14" s="54" t="inlineStr">
        <is>
          <t>SÍ — el archivo sigue en el correo, falta guardarlo en el expediente</t>
        </is>
      </c>
      <c r="L14" s="54" t="inlineStr">
        <is>
          <t>SÍ</t>
        </is>
      </c>
      <c r="M14" s="54" t="inlineStr">
        <is>
          <t>28 de octubre de 2026</t>
        </is>
      </c>
      <c r="N14" s="44" t="inlineStr">
        <is>
          <t>CONFIRMADO — declinó M4 · C1 el 25/09</t>
        </is>
      </c>
    </row>
    <row r="15" ht="30" customHeight="1">
      <c r="A15" s="38" t="n">
        <v>12</v>
      </c>
      <c r="B15" s="39" t="inlineStr">
        <is>
          <t>Dra. Marcia Gabriela Jiménez Encalada</t>
        </is>
      </c>
      <c r="C15" s="41" t="inlineStr">
        <is>
          <t>Medicina Interna · Endocrinología</t>
        </is>
      </c>
      <c r="D15" s="41" t="inlineStr">
        <is>
          <t>Centro de Especialidades Médicas de la Universidad de Cuenca · Hospital Santa Inés — Cuenca, Ecuador</t>
        </is>
      </c>
      <c r="E15" s="41" t="inlineStr">
        <is>
          <t>gabriela.jimeneze@ucuenca.edu.ec</t>
        </is>
      </c>
      <c r="F15" s="60" t="inlineStr">
        <is>
          <t>+593 99 807 8964</t>
        </is>
      </c>
      <c r="G15" s="41" t="n"/>
      <c r="H15" s="41" t="n"/>
      <c r="I15" s="40" t="inlineStr">
        <is>
          <t>M4 · C3</t>
        </is>
      </c>
      <c r="J15" s="42" t="inlineStr">
        <is>
          <t>SÍ — recibida el 12/10/2026 y archivada (CV_Jimenez-Encalada_Marcia-Gabriela.docx). Última modificación del archivo: diciembre de 2024.</t>
        </is>
      </c>
      <c r="K15" s="42" t="n"/>
      <c r="L15" s="42" t="n"/>
      <c r="M15" s="42" t="n"/>
      <c r="N15" s="44" t="inlineStr">
        <is>
          <t>CONFIRMADO — declinó M1 · C4 el 25/09</t>
        </is>
      </c>
    </row>
    <row r="16" ht="30" customHeight="1">
      <c r="A16" s="38" t="n">
        <v>13</v>
      </c>
      <c r="B16" s="54" t="inlineStr">
        <is>
          <t>Dr. Juan Fernando Molina Galarza</t>
        </is>
      </c>
      <c r="C16" s="54" t="inlineStr">
        <is>
          <t>Medicina Interna · Endocrinología · Máster en infección por VIH</t>
        </is>
      </c>
      <c r="D16" s="54" t="inlineStr">
        <is>
          <t>Hospital General Vicente Corral Moscoso · Corporación Médica Monte Sinaí — Cuenca, Ecuador</t>
        </is>
      </c>
      <c r="E16" s="54" t="inlineStr">
        <is>
          <t>molinagalarza.jf@gmail.com</t>
        </is>
      </c>
      <c r="F16" s="60" t="inlineStr">
        <is>
          <t>+593 99 862 5711</t>
        </is>
      </c>
      <c r="G16" s="54" t="inlineStr">
        <is>
          <t>0104904313 — la copia está en Drive (formulario), falta guardarla en el expediente</t>
        </is>
      </c>
      <c r="H16" s="41" t="n"/>
      <c r="I16" s="40" t="inlineStr">
        <is>
          <t>M4 · C4</t>
        </is>
      </c>
      <c r="J16" s="54" t="inlineStr">
        <is>
          <t>SÍ</t>
        </is>
      </c>
      <c r="K16" s="54" t="inlineStr">
        <is>
          <t>SÍ</t>
        </is>
      </c>
      <c r="L16" s="54" t="inlineStr">
        <is>
          <t>SÍ</t>
        </is>
      </c>
      <c r="M16" s="54" t="inlineStr">
        <is>
          <t>12 de noviembre de 2026</t>
        </is>
      </c>
      <c r="N16" s="44" t="inlineStr">
        <is>
          <t>CONFIRMADO</t>
        </is>
      </c>
    </row>
    <row r="17" ht="30" customHeight="1">
      <c r="A17" s="38" t="n">
        <v>14</v>
      </c>
      <c r="B17" s="39" t="inlineStr">
        <is>
          <t>Dra. Andrea Valeria Andrade Izquierdo</t>
        </is>
      </c>
      <c r="C17" s="41" t="inlineStr">
        <is>
          <t>Nefrología · Trasplante renal · PhD en Ciencias (Nefrología), Universidad de São Paulo</t>
        </is>
      </c>
      <c r="D17" s="41" t="inlineStr">
        <is>
          <t>Hospital Santa Inés · Universidad de Cuenca — Cuenca, Ecuador</t>
        </is>
      </c>
      <c r="E17" s="41" t="inlineStr">
        <is>
          <t>vale19_ec@yahoo.com</t>
        </is>
      </c>
      <c r="F17" s="41" t="inlineStr">
        <is>
          <t>+593 98 335 5686</t>
        </is>
      </c>
      <c r="G17" s="41" t="n"/>
      <c r="H17" s="41" t="n"/>
      <c r="I17" s="40" t="inlineStr">
        <is>
          <t>M6 · C1</t>
        </is>
      </c>
      <c r="J17" s="42" t="inlineStr">
        <is>
          <t>SÍ — recibida el 12/10/2026 y archivada (CV_Andrade-Izquierdo_Andrea-Valeria.pdf). Fechada en septiembre de 2025.</t>
        </is>
      </c>
      <c r="K17" s="42" t="n"/>
      <c r="L17" s="42" t="n"/>
      <c r="M17" s="42" t="n"/>
      <c r="N17" s="44" t="inlineStr">
        <is>
          <t>CONFIRMADO</t>
        </is>
      </c>
    </row>
    <row r="18" ht="30" customHeight="1">
      <c r="A18" s="54" t="n">
        <v>15</v>
      </c>
      <c r="B18" s="42" t="inlineStr">
        <is>
          <t>Dra. Marcia Janneth Bermeo Cabrera</t>
        </is>
      </c>
      <c r="C18" s="53" t="inlineStr">
        <is>
          <t>Medicina Interna · Subespecialista en Endocrinología · Alta especialidad en Obesidad y Enfermedades Tiroideas (UNAM)</t>
        </is>
      </c>
      <c r="D18" s="42" t="inlineStr">
        <is>
          <t>Hospital del Río · Cuenca, Ecuador</t>
        </is>
      </c>
      <c r="E18" s="42" t="inlineStr">
        <is>
          <t>jbendocrino@hotmail.com</t>
        </is>
      </c>
      <c r="F18" s="41" t="inlineStr">
        <is>
          <t>+593 96 198 1203</t>
        </is>
      </c>
      <c r="G18" s="42" t="inlineStr">
        <is>
          <t>0104851001 (copia de cédula en expediente)</t>
        </is>
      </c>
      <c r="H18" s="41" t="n"/>
      <c r="I18" s="54" t="inlineStr">
        <is>
          <t>M2 · C3</t>
        </is>
      </c>
      <c r="J18" s="42" t="inlineStr">
        <is>
          <t>SÍ</t>
        </is>
      </c>
      <c r="K18" s="54" t="inlineStr">
        <is>
          <t>SÍ</t>
        </is>
      </c>
      <c r="L18" s="42" t="inlineStr">
        <is>
          <t>SÍ</t>
        </is>
      </c>
      <c r="M18" s="42" t="n"/>
      <c r="N18" s="65" t="inlineStr">
        <is>
          <t>CONFIRMADO — declaración COI llena, pendiente de firma electrónica</t>
        </is>
      </c>
    </row>
    <row r="19">
      <c r="A19" s="54" t="n">
        <v>16</v>
      </c>
      <c r="B19" s="52" t="inlineStr">
        <is>
          <t>Dra. María Paz Castillo Cabrera</t>
        </is>
      </c>
      <c r="C19" s="53" t="inlineStr">
        <is>
          <t>Medicina Interna · Endocrinología · Alta especialidad en Enfermedades Tiroideas (UNAM)</t>
        </is>
      </c>
      <c r="D19" s="53" t="inlineStr">
        <is>
          <t>Centro Metropolitano de Oncología Integral, Hospital Ángeles — Ciudad de México, México (según su hoja de vida de 22/09/2026)</t>
        </is>
      </c>
      <c r="E19" s="41" t="inlineStr">
        <is>
          <t>mariapazcc22@hotmail.com</t>
        </is>
      </c>
      <c r="F19" s="41" t="inlineStr">
        <is>
          <t>+52 1 56 2489 0698</t>
        </is>
      </c>
      <c r="G19" s="41" t="n"/>
      <c r="H19" s="41" t="n"/>
      <c r="I19" s="54" t="inlineStr">
        <is>
          <t>M4 · C1</t>
        </is>
      </c>
      <c r="J19" s="42" t="inlineStr">
        <is>
          <t>SÍ — llegó por la Dra. Ruilova el 12/10/2026; revisada y archivada (CV_Castillo-Cabrera_Maria-Paz.pdf). Ojo: su hoja de vida la sitúa trabajando en Ciudad de México desde junio de 2026, no en Cuenca, y no menciona ningún cargo en la Universidad de Cuenca.</t>
        </is>
      </c>
      <c r="K19" s="42" t="n"/>
      <c r="L19" s="42" t="n"/>
      <c r="M19" s="42" t="inlineStr">
        <is>
          <t>12/11/2026</t>
        </is>
      </c>
      <c r="N19" s="65" t="inlineStr">
        <is>
          <t>CONFIRMADO — ponente nacional · PENDIENTE aclarar si interviene en el trámite del aval</t>
        </is>
      </c>
    </row>
    <row r="20">
      <c r="A20" s="54" t="n">
        <v>17</v>
      </c>
      <c r="B20" s="54" t="inlineStr">
        <is>
          <t>Dr. Cristian Oswaldo Castillo Cabrera</t>
        </is>
      </c>
      <c r="C20" s="53" t="inlineStr">
        <is>
          <t>Cirugía bariátrica y metabólica</t>
        </is>
      </c>
      <c r="D20" s="53" t="inlineStr">
        <is>
          <t>Hospital Santa Inés — Cuenca, Ecuador</t>
        </is>
      </c>
      <c r="E20" s="54" t="inlineStr">
        <is>
          <t>cristiancastillodr@gmail.com</t>
        </is>
      </c>
      <c r="F20" s="41" t="inlineStr">
        <is>
          <t>+593 97 965 3154</t>
        </is>
      </c>
      <c r="G20" s="54" t="inlineStr">
        <is>
          <t>SÍ — el archivo sigue en el correo, falta guardarlo en el expediente</t>
        </is>
      </c>
      <c r="H20" s="41" t="n"/>
      <c r="I20" s="54" t="inlineStr">
        <is>
          <t>M3 · C4</t>
        </is>
      </c>
      <c r="J20" s="54" t="inlineStr">
        <is>
          <t>SÍ — recibida el 07/10/2026 (y reenviada por la Dra. Ruilova el 12/10/2026); revisada y archivada (CV_Castillo-Cabrera_Cristian-Oswaldo.pdf)</t>
        </is>
      </c>
      <c r="K20" s="54" t="inlineStr">
        <is>
          <t>SÍ — el archivo sigue en el correo, falta guardarlo en el expediente</t>
        </is>
      </c>
      <c r="L20" s="54" t="inlineStr">
        <is>
          <t>YA PEDIDA la firma por la coordinación el 09/10/2026. Envió el formato el 07/10 pero el archivo no lleva «signed» en el nombre y no se ha podido abrir para comprobar que esté firmado.</t>
        </is>
      </c>
      <c r="M20" s="42" t="n"/>
      <c r="N20" s="65" t="inlineStr">
        <is>
          <t>CONFIRMADO — falta documentación</t>
        </is>
      </c>
    </row>
    <row r="21">
      <c r="A21" s="54" t="n">
        <v>18</v>
      </c>
      <c r="B21" s="54" t="inlineStr">
        <is>
          <t>Dra. Julia Castro de González</t>
        </is>
      </c>
      <c r="C21" s="54" t="inlineStr">
        <is>
          <t>Medicina Física y Rehabilitación</t>
        </is>
      </c>
      <c r="D21" s="54" t="inlineStr">
        <is>
          <t>Instituto Ecuatoriano de Seguridad Social (IESS) — Cuenca, Ecuador</t>
        </is>
      </c>
      <c r="E21" s="54" t="inlineStr">
        <is>
          <t>dracastrorehabilitacion@gmail.com (escribió desde castromezajulia@gmail.com — confirmar cuál usar)</t>
        </is>
      </c>
      <c r="F21" s="41" t="inlineStr">
        <is>
          <t>+593 99 208 7747</t>
        </is>
      </c>
      <c r="G21" s="54" t="inlineStr">
        <is>
          <t>0151826435 — dígito verificador correcto; copia enviada por correo, falta guardarla en el expediente</t>
        </is>
      </c>
      <c r="H21" s="41" t="n"/>
      <c r="I21" s="54" t="inlineStr">
        <is>
          <t>M2 · C4</t>
        </is>
      </c>
      <c r="J21" s="54" t="inlineStr">
        <is>
          <t>SÍ — el archivo sigue en el correo, falta guardarlo en el expediente</t>
        </is>
      </c>
      <c r="K21" s="54" t="inlineStr">
        <is>
          <t>PROVISIONAL — solo hay una miniatura de 150×150 px (4 KB), insuficiente para el expediente. Pedirle el archivo original.</t>
        </is>
      </c>
      <c r="L21" s="54" t="inlineStr">
        <is>
          <t>SÍ</t>
        </is>
      </c>
      <c r="M21" s="54" t="inlineStr">
        <is>
          <t>29 de octubre de 2026</t>
        </is>
      </c>
      <c r="N21" s="65" t="inlineStr">
        <is>
          <t>CONFIRMADO — falta documentación · ENTREGA MÁS PRÓXIMA DEL CURSO</t>
        </is>
      </c>
    </row>
    <row r="22">
      <c r="A22" s="54" t="n">
        <v>19</v>
      </c>
      <c r="B22" s="54" t="inlineStr">
        <is>
          <t>Lcda. Gabriela Estefanía Molina Ochoa, Mgt.</t>
        </is>
      </c>
      <c r="C22" s="54" t="inlineStr">
        <is>
          <t>Nutrición · Diplomado en Educación en Diabetes · Máster en Antropología · Máster en Salud Pública</t>
        </is>
      </c>
      <c r="D22" s="54" t="inlineStr">
        <is>
          <t>Universidad de Cuenca — Cuenca, Ecuador</t>
        </is>
      </c>
      <c r="E22" s="54" t="inlineStr">
        <is>
          <t>gabrielamolinaochoa@gmail.com</t>
        </is>
      </c>
      <c r="F22" s="41" t="inlineStr">
        <is>
          <t>+593 99 551 4286</t>
        </is>
      </c>
      <c r="G22" s="54" t="inlineStr">
        <is>
          <t>0105111827</t>
        </is>
      </c>
      <c r="H22" s="41" t="n"/>
      <c r="I22" s="54" t="inlineStr">
        <is>
          <t>M5 · C1</t>
        </is>
      </c>
      <c r="J22" s="54" t="inlineStr">
        <is>
          <t>SÍ</t>
        </is>
      </c>
      <c r="K22" s="54" t="inlineStr">
        <is>
          <t>SÍ</t>
        </is>
      </c>
      <c r="L22" s="54" t="inlineStr">
        <is>
          <t>SÍ</t>
        </is>
      </c>
      <c r="M22" s="54" t="inlineStr">
        <is>
          <t>Jueves 19 de noviembre de 2026</t>
        </is>
      </c>
      <c r="N22" s="65" t="inlineStr">
        <is>
          <t>CONFIRMADO — faltan todos los documentos</t>
        </is>
      </c>
    </row>
    <row r="23">
      <c r="A23" s="54" t="n">
        <v>20</v>
      </c>
      <c r="B23" s="52" t="inlineStr">
        <is>
          <t>Dra. Gabriela Machado</t>
        </is>
      </c>
      <c r="C23" s="53" t="n"/>
      <c r="D23" s="53" t="n"/>
      <c r="E23" s="41" t="n"/>
      <c r="F23" s="41" t="inlineStr">
        <is>
          <t>+593 99 502 5774</t>
        </is>
      </c>
      <c r="G23" s="41" t="n"/>
      <c r="H23" s="41" t="n"/>
      <c r="I23" s="54" t="inlineStr">
        <is>
          <t>M5 · C3</t>
        </is>
      </c>
      <c r="J23" s="42" t="n"/>
      <c r="K23" s="42" t="n"/>
      <c r="L23" s="42" t="n"/>
      <c r="M23" s="42" t="n"/>
      <c r="N23" s="65" t="inlineStr">
        <is>
          <t>CONFIRMADO — faltan especialidad, institución y documentación</t>
        </is>
      </c>
    </row>
    <row r="24">
      <c r="A24" s="54" t="n">
        <v>21</v>
      </c>
      <c r="B24" s="52" t="inlineStr">
        <is>
          <t>Dra. Ana María Gómez Medina</t>
        </is>
      </c>
      <c r="C24" s="53" t="inlineStr">
        <is>
          <t>Medicina Interna · Endocrinología · Tecnología en diabetes</t>
        </is>
      </c>
      <c r="D24" s="53" t="inlineStr">
        <is>
          <t>Hospital Universitario San Ignacio · Pontificia Universidad Javeriana — Bogotá, Colombia</t>
        </is>
      </c>
      <c r="E24" s="41" t="n"/>
      <c r="F24" s="41" t="inlineStr">
        <is>
          <t>+57 310 488 4626</t>
        </is>
      </c>
      <c r="G24" s="41" t="n"/>
      <c r="H24" s="41" t="n"/>
      <c r="I24" s="54" t="inlineStr">
        <is>
          <t>M7 · C2</t>
        </is>
      </c>
      <c r="J24" s="42" t="inlineStr">
        <is>
          <t>SÍ — versión armada por la coordinación con PubMed y APROBADA por la Dra. Gómez, según la Dra. Omidres (12/10/2026). Archivada como CV_Gomez-Medina_Ana-Maria.pdf.</t>
        </is>
      </c>
      <c r="K24" s="42" t="n"/>
      <c r="L24" s="42" t="n"/>
      <c r="M24" s="42" t="inlineStr">
        <is>
          <t>03/12/2026</t>
        </is>
      </c>
      <c r="N24" s="65" t="inlineStr">
        <is>
          <t>CONFIRMADO — falta toda la documentación</t>
        </is>
      </c>
    </row>
    <row r="25">
      <c r="A25" s="54" t="n">
        <v>22</v>
      </c>
      <c r="B25" s="52" t="inlineStr">
        <is>
          <t>Dr. Ronald Fabricio Salas Guerrero</t>
        </is>
      </c>
      <c r="C25" s="53" t="inlineStr">
        <is>
          <t>Medicina · Epidemiología · Salud digital e interoperabilidad</t>
        </is>
      </c>
      <c r="D25" s="53" t="inlineStr">
        <is>
          <t>Ministerio de Salud Pública del Ecuador (epidemiólogo, 2026)</t>
        </is>
      </c>
      <c r="E25" s="41" t="inlineStr">
        <is>
          <t>fabriciosalasguerrero@gmail.com</t>
        </is>
      </c>
      <c r="F25" s="41" t="inlineStr">
        <is>
          <t>+593 99 381 4728</t>
        </is>
      </c>
      <c r="G25" s="41" t="n"/>
      <c r="H25" s="41" t="n"/>
      <c r="I25" s="54" t="inlineStr">
        <is>
          <t>M7 · C3</t>
        </is>
      </c>
      <c r="J25" s="42" t="inlineStr">
        <is>
          <t>SÍ — recibida el 10/10/2026 y archivada (CV_Salas-Guerrero_Ronald-Fabricio.pdf). Ojo: los dos registros SENESCYT que figuran en ella parecen intercambiados entre el título de médico y la maestría.</t>
        </is>
      </c>
      <c r="K25" s="42" t="n"/>
      <c r="L25" s="42" t="n"/>
      <c r="M25" s="42" t="inlineStr">
        <is>
          <t>03/12/2026</t>
        </is>
      </c>
      <c r="N25" s="65" t="inlineStr">
        <is>
          <t>CONFIRMADO — falta toda la documentación</t>
        </is>
      </c>
    </row>
    <row r="26">
      <c r="A26" s="54" t="n">
        <v>23</v>
      </c>
      <c r="B26" s="52" t="inlineStr">
        <is>
          <t>Dra. Adriana Victoria González Neira</t>
        </is>
      </c>
      <c r="C26" s="53" t="inlineStr">
        <is>
          <t>Medicina Interna · Endocrinología · Diabetes · Tesorera de ALAD (2026–2028)</t>
        </is>
      </c>
      <c r="D26" s="53" t="inlineStr">
        <is>
          <t>Hospital Clínica Kennedy · Hospital General Naval (HOSNAG) — Guayaquil, Ecuador</t>
        </is>
      </c>
      <c r="E26" s="41" t="inlineStr">
        <is>
          <t>adrianagn26@yahoo.com</t>
        </is>
      </c>
      <c r="F26" s="41" t="inlineStr">
        <is>
          <t>+593 99 602 1221</t>
        </is>
      </c>
      <c r="G26" s="41" t="n"/>
      <c r="H26" s="41" t="n"/>
      <c r="I26" s="54" t="inlineStr">
        <is>
          <t>M1 · C4</t>
        </is>
      </c>
      <c r="J26" s="42" t="inlineStr">
        <is>
          <t>SÍ — recibida el 10/10/2026 y archivada (CV_Gonzalez-Neira_Adriana-Victoria.pdf)</t>
        </is>
      </c>
      <c r="K26" s="42" t="n"/>
      <c r="L26" s="42" t="n"/>
      <c r="M26" s="42" t="inlineStr">
        <is>
          <t>29/10/2026</t>
        </is>
      </c>
      <c r="N26" s="65" t="inlineStr">
        <is>
          <t>CONFIRMADO — falta toda la documentación</t>
        </is>
      </c>
    </row>
    <row r="27">
      <c r="A27" s="54" t="n">
        <v>24</v>
      </c>
      <c r="B27" s="52" t="inlineStr">
        <is>
          <t>Ing. Styp Bill Roy Canto Rondón</t>
        </is>
      </c>
      <c r="C27" s="53" t="inlineStr">
        <is>
          <t>Ingeniería de Telecomunicaciones · TI en salud, telemedicina e interoperabilidad (HL7 FHIR)</t>
        </is>
      </c>
      <c r="D27" s="53" t="inlineStr">
        <is>
          <t>Centro Nacional de Telemedicina (CENATE) – EsSalud · Lima, Perú</t>
        </is>
      </c>
      <c r="E27" s="41" t="inlineStr">
        <is>
          <t>styp611@outlook.com</t>
        </is>
      </c>
      <c r="F27" s="41" t="inlineStr">
        <is>
          <t>+51 956 194 180</t>
        </is>
      </c>
      <c r="G27" s="41" t="n"/>
      <c r="H27" s="41" t="inlineStr">
        <is>
          <t>CIP 131278 (Colegio de Ingenieros del Perú)</t>
        </is>
      </c>
      <c r="I27" s="54" t="inlineStr">
        <is>
          <t>M7 · C4</t>
        </is>
      </c>
      <c r="J27" s="42" t="inlineStr">
        <is>
          <t>PENDIENTE de aprobación — su PDF pesa demasiado; la coordinación armó SEDA_HojaVida_Canto_REVISION con su texto (12/10/2026). Cuenta cuando él la apruebe</t>
        </is>
      </c>
      <c r="K27" s="42" t="n"/>
      <c r="L27" s="42" t="inlineStr">
        <is>
          <t>PENDIENTE — debe declarar: (1) consultor externo vigente de MEDDI Hub, empresa en la que la Dra. Omidres es CMO LATAM; (2) miembro vocal y fundador de la OITT, que preside la Dra. Omidres. Sin vínculo con Omisalud (confirmado por la Dra. Omidres el 12/10/2026)</t>
        </is>
      </c>
      <c r="M27" s="42" t="inlineStr">
        <is>
          <t>03/12/2026</t>
        </is>
      </c>
      <c r="N27" s="65" t="inlineStr">
        <is>
          <t>CONFIRMADO — aceptó el 12/10/2026</t>
        </is>
      </c>
    </row>
  </sheetData>
  <dataValidations count="1">
    <dataValidation sqref="J4:L18" showDropDown="0" showInputMessage="0" showErrorMessage="0" allowBlank="1" type="list">
      <formula1>"SÍ,NO,PENDIENTE"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40" customWidth="1" min="4" max="4"/>
    <col width="30" customWidth="1" min="5" max="5"/>
    <col width="30" customWidth="1" min="6" max="6"/>
    <col width="22" customWidth="1" min="7" max="7"/>
  </cols>
  <sheetData>
    <row r="1">
      <c r="A1" s="20" t="inlineStr">
        <is>
          <t>CLASES QUE QUEDARON SIN PONENTE · Queda 1 vacante: M5 · C2 (al 09/10/2026)</t>
        </is>
      </c>
    </row>
    <row r="2">
      <c r="A2" s="49" t="inlineStr">
        <is>
          <t>Los perfiles sugeridos son una recomendación académica, no una asignación. Los candidatos los define SEDA.</t>
        </is>
      </c>
    </row>
    <row r="3" ht="34" customHeight="1">
      <c r="A3" s="21" t="inlineStr">
        <is>
          <t>Prio.</t>
        </is>
      </c>
      <c r="B3" s="21" t="inlineStr">
        <is>
          <t>Módulo · Clase</t>
        </is>
      </c>
      <c r="C3" s="21" t="inlineStr">
        <is>
          <t>Tema</t>
        </is>
      </c>
      <c r="D3" s="21" t="inlineStr">
        <is>
          <t>Perfil profesional sugerido</t>
        </is>
      </c>
      <c r="E3" s="21" t="inlineStr">
        <is>
          <t>Candidato propuesto</t>
        </is>
      </c>
      <c r="F3" s="21" t="inlineStr">
        <is>
          <t>Contacto (WhatsApp / correo)</t>
        </is>
      </c>
      <c r="G3" s="21" t="inlineStr">
        <is>
          <t>Estado de la gestión</t>
        </is>
      </c>
    </row>
    <row r="4" ht="32" customHeight="1">
      <c r="A4" s="50" t="n">
        <v>1</v>
      </c>
      <c r="B4" s="39" t="inlineStr">
        <is>
          <t>M5 · C1</t>
        </is>
      </c>
      <c r="C4" s="40" t="inlineStr">
        <is>
          <t>Nutrición de precisión en diabetes y obesidad</t>
        </is>
      </c>
      <c r="D4" s="40" t="inlineStr">
        <is>
          <t>Nutricionista clínico o endocrinólogo con línea en nutrición de precisión</t>
        </is>
      </c>
      <c r="E4" s="41" t="inlineStr">
        <is>
          <t>Lcda. Gabriela Molina</t>
        </is>
      </c>
      <c r="F4" s="41" t="inlineStr">
        <is>
          <t>+593 99 551 4286</t>
        </is>
      </c>
      <c r="G4" s="41" t="inlineStr">
        <is>
          <t>CUBIERTA — aceptó el 28/09/2026</t>
        </is>
      </c>
    </row>
    <row r="5" ht="32" customHeight="1">
      <c r="A5" s="50" t="n">
        <v>1</v>
      </c>
      <c r="B5" s="39" t="inlineStr">
        <is>
          <t>M5 · C2</t>
        </is>
      </c>
      <c r="C5" s="40" t="inlineStr">
        <is>
          <t>Estrategias nutricionales basadas en evidencia</t>
        </is>
      </c>
      <c r="D5" s="40" t="inlineStr">
        <is>
          <t>Nutricionista clínico con experiencia en diabetes</t>
        </is>
      </c>
      <c r="E5" s="41" t="inlineStr">
        <is>
          <t>SIN CANDIDATO — VACANTE</t>
        </is>
      </c>
      <c r="F5" s="41" t="n"/>
      <c r="G5" s="41" t="inlineStr">
        <is>
          <t>VACANTE. Declinaron la Dra. Gaby Villavicencio (recomendó a otras personas; se les escribió y no respondieron al 12/10/2026), la Carrera de Nutrición de la U. Cuenca (recibió los temas el 23/09 y no tomó este) y la Lcda. María Augusta Vásquez (05/10). Se mantiene vacante por decisión de la Dra. Omidres. No volver a contactar a esas tres para este tema.</t>
        </is>
      </c>
    </row>
    <row r="6" ht="32" customHeight="1">
      <c r="A6" s="50" t="n">
        <v>1</v>
      </c>
      <c r="B6" s="39" t="inlineStr">
        <is>
          <t>M5 · C3</t>
        </is>
      </c>
      <c r="C6" s="40" t="inlineStr">
        <is>
          <t>Nutrición durante las terapias para obesidad (GLP-1 / tirzepatida)</t>
        </is>
      </c>
      <c r="D6" s="40" t="inlineStr">
        <is>
          <t>Nutricionista clínico o endocrinólogo; tema de alta demanda</t>
        </is>
      </c>
      <c r="E6" s="62" t="inlineStr">
        <is>
          <t>Dra. Gabriela Machado</t>
        </is>
      </c>
      <c r="F6" s="41" t="inlineStr">
        <is>
          <t>+593 99 502 5774</t>
        </is>
      </c>
      <c r="G6" s="63" t="inlineStr">
        <is>
          <t>CUBIERTA — aceptó el 28/09/2026</t>
        </is>
      </c>
    </row>
    <row r="7" ht="32" customHeight="1">
      <c r="A7" s="50" t="n">
        <v>2</v>
      </c>
      <c r="B7" s="39" t="inlineStr">
        <is>
          <t>M7 · C2</t>
        </is>
      </c>
      <c r="C7" s="40" t="inlineStr">
        <is>
          <t>Monitoreo digital y tecnologías en diabetes y obesidad</t>
        </is>
      </c>
      <c r="D7" s="40" t="inlineStr">
        <is>
          <t>Endocrinólogo con experiencia en MCG/tecnología en diabetes</t>
        </is>
      </c>
      <c r="E7" s="62" t="inlineStr">
        <is>
          <t>Dra. Ana María Gómez — endocrinóloga, Colombia</t>
        </is>
      </c>
      <c r="F7" s="41" t="inlineStr">
        <is>
          <t>+57 310 488 4626</t>
        </is>
      </c>
      <c r="G7" s="63" t="inlineStr">
        <is>
          <t>CUBIERTA — aceptó el 29/09/2026</t>
        </is>
      </c>
    </row>
    <row r="8" ht="32" customHeight="1">
      <c r="A8" s="50" t="n">
        <v>2</v>
      </c>
      <c r="B8" s="39" t="inlineStr">
        <is>
          <t>M7 · C3</t>
        </is>
      </c>
      <c r="C8" s="40" t="inlineStr">
        <is>
          <t>Terapéutica digital, IA y educación del paciente</t>
        </is>
      </c>
      <c r="D8" s="40" t="inlineStr">
        <is>
          <t>Informática médica / IA aplicada a salud</t>
        </is>
      </c>
      <c r="E8" s="41" t="inlineStr">
        <is>
          <t>Dr. Fabricio Salas Guerrero — médico epidemiólogo, experto en salud digital</t>
        </is>
      </c>
      <c r="F8" s="41" t="inlineStr">
        <is>
          <t>+593 99 381 4728</t>
        </is>
      </c>
      <c r="G8" s="41" t="inlineStr">
        <is>
          <t>CUBIERTA — aceptó el 29/09/2026</t>
        </is>
      </c>
    </row>
    <row r="9" ht="32" customHeight="1">
      <c r="A9" s="50" t="n">
        <v>2</v>
      </c>
      <c r="B9" s="39" t="inlineStr">
        <is>
          <t>M7 · C4</t>
        </is>
      </c>
      <c r="C9" s="40" t="inlineStr">
        <is>
          <t>Implementación, ética y seguridad de datos</t>
        </is>
      </c>
      <c r="D9" s="40" t="inlineStr">
        <is>
          <t>Bioética, derecho sanitario o protección de datos en salud</t>
        </is>
      </c>
      <c r="E9" s="41" t="inlineStr">
        <is>
          <t>Ing. Styp Canto Rondón — ingeniero en TI en salud, CENATE-EsSalud, Perú</t>
        </is>
      </c>
      <c r="F9" s="41" t="inlineStr">
        <is>
          <t>+51 956 194 180 · styp611@outlook.com</t>
        </is>
      </c>
      <c r="G9" s="41" t="inlineStr">
        <is>
          <t>CUBIERTA — aceptó el 12/10/2026. La Dra. Omidres la tenía desde el 23/09 y se la cedió; ella conserva M7 · C1.</t>
        </is>
      </c>
    </row>
    <row r="10" ht="32" customHeight="1">
      <c r="A10" s="50" t="n">
        <v>3</v>
      </c>
      <c r="B10" s="39" t="inlineStr">
        <is>
          <t>M3 · C4</t>
        </is>
      </c>
      <c r="C10" s="40" t="inlineStr">
        <is>
          <t>Cirugía bariátrica</t>
        </is>
      </c>
      <c r="D10" s="40" t="inlineStr">
        <is>
          <t>Cirujano bariátrico y metabólico acreditado</t>
        </is>
      </c>
      <c r="E10" s="41" t="inlineStr">
        <is>
          <t>Dr. Cristian Castillo</t>
        </is>
      </c>
      <c r="F10" s="41" t="n"/>
      <c r="G10" s="41" t="inlineStr">
        <is>
          <t>CUBIERTA — aceptó el 24/09/2026 (el Dr. Verdugo no respondió)</t>
        </is>
      </c>
    </row>
    <row r="11" ht="32" customHeight="1">
      <c r="A11" s="50" t="n">
        <v>1</v>
      </c>
      <c r="B11" s="39" t="inlineStr">
        <is>
          <t>M1 · C4</t>
        </is>
      </c>
      <c r="C11" s="40" t="inlineStr">
        <is>
          <t>Composición corporal y sarcopenia</t>
        </is>
      </c>
      <c r="D11" s="40" t="inlineStr">
        <is>
          <t>Endocrinología o nutrición con experiencia en sarcopenia y bioimpedancia</t>
        </is>
      </c>
      <c r="E11" s="41" t="inlineStr">
        <is>
          <t>Dra. Adriana González — tesorera de ALAD, Ecuador</t>
        </is>
      </c>
      <c r="F11" s="41" t="inlineStr">
        <is>
          <t>+593 99 602 1221</t>
        </is>
      </c>
      <c r="G11" s="41" t="inlineStr">
        <is>
          <t>CUBIERTA — aceptó el 29/09/2026</t>
        </is>
      </c>
    </row>
    <row r="12" ht="32" customHeight="1">
      <c r="A12" s="50" t="n">
        <v>3</v>
      </c>
      <c r="B12" s="39" t="inlineStr">
        <is>
          <t>M2 · C4</t>
        </is>
      </c>
      <c r="C12" s="40" t="inlineStr">
        <is>
          <t>Actividad física en obesidad</t>
        </is>
      </c>
      <c r="D12" s="40" t="inlineStr">
        <is>
          <t>Medicina del deporte, fisiatría o fisioterapia</t>
        </is>
      </c>
      <c r="E12" s="41" t="inlineStr">
        <is>
          <t>Dra. Julia Castro</t>
        </is>
      </c>
      <c r="F12" s="41" t="n"/>
      <c r="G12" s="41" t="inlineStr">
        <is>
          <t>CUBIERTA — aceptó el 24/09/2026 (el Dr. Dommar declinó)</t>
        </is>
      </c>
    </row>
    <row r="13" ht="32" customHeight="1">
      <c r="A13" s="56" t="inlineStr">
        <is>
          <t>2</t>
        </is>
      </c>
      <c r="B13" s="57" t="inlineStr">
        <is>
          <t>M6 · C3</t>
        </is>
      </c>
      <c r="C13" s="58" t="inlineStr">
        <is>
          <t>Síndrome cardiorrenometabólico</t>
        </is>
      </c>
      <c r="D13" s="58" t="inlineStr">
        <is>
          <t>Endocrinología o cardiología — el Dr. Harold declinó el 19/09/2026</t>
        </is>
      </c>
      <c r="E13" s="59" t="inlineStr">
        <is>
          <t>Dr. Chih Hao Chen Ku</t>
        </is>
      </c>
      <c r="F13" s="59" t="inlineStr">
        <is>
          <t>chenku2409@gmail.com · +506 8392 7083</t>
        </is>
      </c>
      <c r="G13" s="59" t="inlineStr">
        <is>
          <t>CUBIERTA — aceptó el 22/09/2026</t>
        </is>
      </c>
    </row>
    <row r="14">
      <c r="C14" s="51" t="inlineStr">
        <is>
          <t>Prioridad 1 = módulo completo descubierto · Prioridad 2 = módulo de salud digital · Prioridad 3 = clases sueltas</t>
        </is>
      </c>
    </row>
    <row r="15">
      <c r="A15" s="50" t="n">
        <v>1</v>
      </c>
      <c r="B15" s="39" t="inlineStr">
        <is>
          <t>M4 · C1</t>
        </is>
      </c>
      <c r="C15" s="40" t="inlineStr">
        <is>
          <t>Fisiopatología y clasificación de la diabetes</t>
        </is>
      </c>
      <c r="D15" s="40" t="inlineStr">
        <is>
          <t>Endocrinología o medicina interna</t>
        </is>
      </c>
      <c r="E15" s="41" t="inlineStr">
        <is>
          <t>Dra. María Paz Castillo Cabrera</t>
        </is>
      </c>
      <c r="F15" s="41" t="inlineStr">
        <is>
          <t>+52 1 56 2489 0698</t>
        </is>
      </c>
      <c r="G15" s="41" t="inlineStr">
        <is>
          <t>CUBIERTA — asignada el 29/09/2026 (el Dr. Valverde no respondió)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2026-09-03T12:21:31Z</dcterms:created>
  <dcterms:modified xmlns:dcterms="http://purl.org/dc/terms/" xmlns:xsi="http://www.w3.org/2001/XMLSchema-instance" xsi:type="dcterms:W3CDTF">2026-10-12T02:45:08Z</dcterms:modified>
</cp:coreProperties>
</file>